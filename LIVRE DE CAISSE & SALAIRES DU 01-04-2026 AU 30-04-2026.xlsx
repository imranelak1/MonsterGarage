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s\Desktop\DOCUMENTS GESTION 2026\"/>
    </mc:Choice>
  </mc:AlternateContent>
  <bookViews>
    <workbookView xWindow="-120" yWindow="-120" windowWidth="29040" windowHeight="15840" tabRatio="611" activeTab="2"/>
  </bookViews>
  <sheets>
    <sheet name="JOURNAL DE CAISSE" sheetId="1" r:id="rId1"/>
    <sheet name="SALAIRES" sheetId="2" r:id="rId2"/>
    <sheet name="DETAIL CA MOIS" sheetId="3" r:id="rId3"/>
    <sheet name="BCE" sheetId="4" r:id="rId4"/>
    <sheet name="REPART CA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4" l="1"/>
  <c r="F43" i="4" l="1"/>
  <c r="F46" i="3" l="1"/>
  <c r="D57" i="3"/>
  <c r="F50" i="3"/>
  <c r="F49" i="3"/>
  <c r="F42" i="4" l="1"/>
  <c r="F41" i="4"/>
  <c r="F44" i="4"/>
  <c r="F40" i="4"/>
  <c r="F38" i="4"/>
  <c r="F37" i="4"/>
  <c r="F36" i="4"/>
  <c r="F48" i="3" l="1"/>
  <c r="C51" i="2" l="1"/>
  <c r="B46" i="4" l="1"/>
  <c r="B47" i="4"/>
  <c r="A46" i="4"/>
  <c r="A47" i="4"/>
  <c r="I34" i="4" l="1"/>
  <c r="I35" i="4"/>
  <c r="I36" i="4"/>
  <c r="I37" i="4"/>
  <c r="I38" i="4"/>
  <c r="I39" i="4"/>
  <c r="K39" i="4" s="1"/>
  <c r="I40" i="4"/>
  <c r="K40" i="4" s="1"/>
  <c r="I41" i="4"/>
  <c r="K41" i="4" s="1"/>
  <c r="I42" i="4"/>
  <c r="K42" i="4" s="1"/>
  <c r="I43" i="4"/>
  <c r="K43" i="4" s="1"/>
  <c r="I44" i="4"/>
  <c r="E27" i="4"/>
  <c r="E43" i="4"/>
  <c r="E45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H33" i="4" s="1"/>
  <c r="D34" i="4"/>
  <c r="D35" i="4"/>
  <c r="D36" i="4"/>
  <c r="H36" i="4" s="1"/>
  <c r="J36" i="4" s="1"/>
  <c r="D37" i="4"/>
  <c r="H37" i="4" s="1"/>
  <c r="D38" i="4"/>
  <c r="H38" i="4" s="1"/>
  <c r="J38" i="4" s="1"/>
  <c r="D39" i="4"/>
  <c r="H39" i="4" s="1"/>
  <c r="D40" i="4"/>
  <c r="H40" i="4" s="1"/>
  <c r="J40" i="4" s="1"/>
  <c r="D41" i="4"/>
  <c r="H41" i="4" s="1"/>
  <c r="D42" i="4"/>
  <c r="H42" i="4" s="1"/>
  <c r="J42" i="4" s="1"/>
  <c r="D43" i="4"/>
  <c r="D44" i="4"/>
  <c r="H44" i="4" s="1"/>
  <c r="J44" i="4" s="1"/>
  <c r="D45" i="4"/>
  <c r="D46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F27" i="4" s="1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I27" i="4"/>
  <c r="H43" i="4" l="1"/>
  <c r="J43" i="4" s="1"/>
  <c r="J41" i="4"/>
  <c r="J39" i="4"/>
  <c r="J37" i="4"/>
  <c r="G27" i="4"/>
  <c r="K27" i="4" s="1"/>
  <c r="H27" i="4"/>
  <c r="J27" i="4" s="1"/>
  <c r="H57" i="2" l="1"/>
  <c r="H56" i="2"/>
  <c r="H55" i="2"/>
  <c r="C54" i="2"/>
  <c r="C52" i="2"/>
  <c r="C50" i="2"/>
  <c r="F24" i="4" l="1"/>
  <c r="F45" i="3" l="1"/>
  <c r="E42" i="4" s="1"/>
  <c r="F42" i="3" l="1"/>
  <c r="E39" i="4" s="1"/>
  <c r="F43" i="3"/>
  <c r="E40" i="4" s="1"/>
  <c r="F44" i="3"/>
  <c r="E41" i="4" s="1"/>
  <c r="F35" i="4" l="1"/>
  <c r="H35" i="4" s="1"/>
  <c r="J35" i="4" s="1"/>
  <c r="F29" i="4" l="1"/>
  <c r="B3" i="5" l="1"/>
  <c r="I3" i="5" l="1"/>
  <c r="E43" i="1" l="1"/>
  <c r="I5" i="5"/>
  <c r="B4" i="5"/>
  <c r="C34" i="2" l="1"/>
  <c r="D35" i="2" l="1"/>
  <c r="F11" i="4"/>
  <c r="C28" i="2"/>
  <c r="I2" i="5"/>
  <c r="I8" i="5" s="1"/>
  <c r="C29" i="2" l="1"/>
  <c r="T9" i="1" l="1"/>
  <c r="T15" i="1" s="1"/>
  <c r="F12" i="4" l="1"/>
  <c r="C19" i="2"/>
  <c r="F10" i="4"/>
  <c r="E4" i="5" l="1"/>
  <c r="D75" i="1"/>
  <c r="F14" i="3"/>
  <c r="E11" i="4" s="1"/>
  <c r="F15" i="3"/>
  <c r="E12" i="4" s="1"/>
  <c r="F16" i="3"/>
  <c r="E13" i="4" s="1"/>
  <c r="F17" i="3"/>
  <c r="E14" i="4" s="1"/>
  <c r="F18" i="3"/>
  <c r="E15" i="4" s="1"/>
  <c r="F19" i="3"/>
  <c r="E16" i="4" s="1"/>
  <c r="F20" i="3"/>
  <c r="E17" i="4" s="1"/>
  <c r="F21" i="3"/>
  <c r="E18" i="4" s="1"/>
  <c r="F22" i="3"/>
  <c r="E19" i="4" s="1"/>
  <c r="F23" i="3"/>
  <c r="E20" i="4" s="1"/>
  <c r="F24" i="3"/>
  <c r="E21" i="4" s="1"/>
  <c r="F25" i="3"/>
  <c r="E22" i="4" s="1"/>
  <c r="F26" i="3"/>
  <c r="E23" i="4" s="1"/>
  <c r="F27" i="3"/>
  <c r="E24" i="4" s="1"/>
  <c r="F28" i="3"/>
  <c r="E25" i="4" s="1"/>
  <c r="F29" i="3"/>
  <c r="E26" i="4" s="1"/>
  <c r="F31" i="3"/>
  <c r="E28" i="4" s="1"/>
  <c r="F32" i="3"/>
  <c r="E29" i="4" s="1"/>
  <c r="F33" i="3"/>
  <c r="E30" i="4" s="1"/>
  <c r="F34" i="3"/>
  <c r="E31" i="4" s="1"/>
  <c r="F35" i="3"/>
  <c r="E32" i="4" s="1"/>
  <c r="F36" i="3"/>
  <c r="E33" i="4" s="1"/>
  <c r="F37" i="3"/>
  <c r="E34" i="4" s="1"/>
  <c r="F38" i="3"/>
  <c r="E35" i="4" s="1"/>
  <c r="F39" i="3"/>
  <c r="E36" i="4" s="1"/>
  <c r="F40" i="3"/>
  <c r="E37" i="4" s="1"/>
  <c r="F41" i="3"/>
  <c r="E38" i="4" s="1"/>
  <c r="F47" i="3"/>
  <c r="E44" i="4" s="1"/>
  <c r="D5" i="5"/>
  <c r="K3" i="5"/>
  <c r="E3" i="5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8" i="4"/>
  <c r="I29" i="4"/>
  <c r="I30" i="4"/>
  <c r="I31" i="4"/>
  <c r="I32" i="4"/>
  <c r="I33" i="4"/>
  <c r="I10" i="4"/>
  <c r="F13" i="3" l="1"/>
  <c r="J3" i="5"/>
  <c r="E57" i="3" l="1"/>
  <c r="H29" i="4"/>
  <c r="F57" i="3" l="1"/>
  <c r="F58" i="3" l="1"/>
  <c r="F59" i="3"/>
  <c r="F60" i="3"/>
  <c r="E62" i="2"/>
  <c r="I45" i="4" l="1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J29" i="4"/>
  <c r="G12" i="4"/>
  <c r="K12" i="4" s="1"/>
  <c r="E47" i="4" l="1"/>
  <c r="D47" i="4"/>
  <c r="H47" i="4" s="1"/>
  <c r="J47" i="4" s="1"/>
  <c r="C47" i="4"/>
  <c r="G47" i="4" s="1"/>
  <c r="K47" i="4" s="1"/>
  <c r="F26" i="4" l="1"/>
  <c r="G26" i="4" s="1"/>
  <c r="K26" i="4" s="1"/>
  <c r="F61" i="3"/>
  <c r="F62" i="3"/>
  <c r="F63" i="3"/>
  <c r="F64" i="3"/>
  <c r="F65" i="3"/>
  <c r="F66" i="3"/>
  <c r="F67" i="3"/>
  <c r="F68" i="3"/>
  <c r="F69" i="3"/>
  <c r="H26" i="4" l="1"/>
  <c r="J26" i="4" s="1"/>
  <c r="E53" i="4"/>
  <c r="E54" i="4"/>
  <c r="E55" i="4"/>
  <c r="E56" i="4"/>
  <c r="E57" i="4"/>
  <c r="E58" i="4"/>
  <c r="D50" i="4"/>
  <c r="H50" i="4" s="1"/>
  <c r="J50" i="4" s="1"/>
  <c r="D51" i="4"/>
  <c r="D52" i="4"/>
  <c r="D53" i="4"/>
  <c r="D54" i="4"/>
  <c r="D55" i="4"/>
  <c r="D56" i="4"/>
  <c r="D57" i="4"/>
  <c r="H57" i="4" s="1"/>
  <c r="J57" i="4" s="1"/>
  <c r="D58" i="4"/>
  <c r="H58" i="4" s="1"/>
  <c r="J58" i="4" s="1"/>
  <c r="C50" i="4"/>
  <c r="G50" i="4" s="1"/>
  <c r="K50" i="4" s="1"/>
  <c r="C51" i="4"/>
  <c r="G51" i="4" s="1"/>
  <c r="K51" i="4" s="1"/>
  <c r="C52" i="4"/>
  <c r="G52" i="4" s="1"/>
  <c r="K52" i="4" s="1"/>
  <c r="C53" i="4"/>
  <c r="G53" i="4" s="1"/>
  <c r="K53" i="4" s="1"/>
  <c r="C54" i="4"/>
  <c r="G54" i="4" s="1"/>
  <c r="K54" i="4" s="1"/>
  <c r="C55" i="4"/>
  <c r="G55" i="4" s="1"/>
  <c r="K55" i="4" s="1"/>
  <c r="C56" i="4"/>
  <c r="G56" i="4" s="1"/>
  <c r="K56" i="4" s="1"/>
  <c r="C57" i="4"/>
  <c r="G57" i="4" s="1"/>
  <c r="K57" i="4" s="1"/>
  <c r="C58" i="4"/>
  <c r="G58" i="4" s="1"/>
  <c r="K58" i="4" s="1"/>
  <c r="B50" i="4"/>
  <c r="B51" i="4"/>
  <c r="B52" i="4"/>
  <c r="B53" i="4"/>
  <c r="B54" i="4"/>
  <c r="B55" i="4"/>
  <c r="B56" i="4"/>
  <c r="B57" i="4"/>
  <c r="B58" i="4"/>
  <c r="A55" i="4"/>
  <c r="A56" i="4"/>
  <c r="A57" i="4"/>
  <c r="A58" i="4"/>
  <c r="A50" i="4"/>
  <c r="A51" i="4"/>
  <c r="A52" i="4"/>
  <c r="A53" i="4"/>
  <c r="A54" i="4"/>
  <c r="H56" i="4" l="1"/>
  <c r="J56" i="4" s="1"/>
  <c r="H51" i="4"/>
  <c r="J51" i="4" s="1"/>
  <c r="H52" i="4"/>
  <c r="J52" i="4" s="1"/>
  <c r="H55" i="4"/>
  <c r="J55" i="4" s="1"/>
  <c r="H54" i="4"/>
  <c r="J54" i="4" s="1"/>
  <c r="H53" i="4"/>
  <c r="J53" i="4" s="1"/>
  <c r="E49" i="4" l="1"/>
  <c r="E50" i="4"/>
  <c r="E51" i="4"/>
  <c r="E52" i="4"/>
  <c r="C48" i="4"/>
  <c r="G48" i="4" s="1"/>
  <c r="K48" i="4" s="1"/>
  <c r="C49" i="4"/>
  <c r="G49" i="4" s="1"/>
  <c r="K49" i="4" s="1"/>
  <c r="B48" i="4"/>
  <c r="B49" i="4"/>
  <c r="A49" i="4"/>
  <c r="E48" i="4"/>
  <c r="D49" i="4"/>
  <c r="H49" i="4" s="1"/>
  <c r="J49" i="4" s="1"/>
  <c r="H46" i="4" l="1"/>
  <c r="J46" i="4" s="1"/>
  <c r="D48" i="4"/>
  <c r="H48" i="4" s="1"/>
  <c r="J48" i="4" s="1"/>
  <c r="E46" i="4"/>
  <c r="G38" i="4"/>
  <c r="K38" i="4" s="1"/>
  <c r="G44" i="4"/>
  <c r="K44" i="4" s="1"/>
  <c r="K45" i="4"/>
  <c r="G46" i="4"/>
  <c r="K46" i="4" s="1"/>
  <c r="A48" i="4"/>
  <c r="J45" i="4" l="1"/>
  <c r="J7" i="5"/>
  <c r="J6" i="5" l="1"/>
  <c r="G36" i="4" l="1"/>
  <c r="K36" i="4" s="1"/>
  <c r="G37" i="4"/>
  <c r="K37" i="4" s="1"/>
  <c r="J5" i="5" l="1"/>
  <c r="B5" i="5"/>
  <c r="C3" i="5" l="1"/>
  <c r="E5" i="5"/>
  <c r="C4" i="5"/>
  <c r="C5" i="5" l="1"/>
  <c r="J4" i="5"/>
  <c r="J8" i="5" l="1"/>
  <c r="G35" i="4"/>
  <c r="K35" i="4" s="1"/>
  <c r="F34" i="4" l="1"/>
  <c r="H34" i="4" s="1"/>
  <c r="G34" i="4" l="1"/>
  <c r="K34" i="4" s="1"/>
  <c r="F32" i="4"/>
  <c r="J34" i="4" l="1"/>
  <c r="J33" i="4"/>
  <c r="H32" i="4"/>
  <c r="J32" i="4" s="1"/>
  <c r="H31" i="4"/>
  <c r="J31" i="4" s="1"/>
  <c r="G32" i="4" l="1"/>
  <c r="K32" i="4" s="1"/>
  <c r="G33" i="4"/>
  <c r="K33" i="4" s="1"/>
  <c r="G29" i="4"/>
  <c r="K29" i="4" s="1"/>
  <c r="F30" i="4"/>
  <c r="G31" i="4"/>
  <c r="K31" i="4" s="1"/>
  <c r="H30" i="4" l="1"/>
  <c r="J30" i="4" s="1"/>
  <c r="H11" i="4"/>
  <c r="J11" i="4" s="1"/>
  <c r="H12" i="4"/>
  <c r="J12" i="4" s="1"/>
  <c r="H24" i="4"/>
  <c r="J24" i="4" s="1"/>
  <c r="G11" i="4"/>
  <c r="K11" i="4" s="1"/>
  <c r="F13" i="4"/>
  <c r="F14" i="4"/>
  <c r="F15" i="4"/>
  <c r="F16" i="4"/>
  <c r="F17" i="4"/>
  <c r="F19" i="4"/>
  <c r="F20" i="4"/>
  <c r="F21" i="4"/>
  <c r="F22" i="4"/>
  <c r="G24" i="4"/>
  <c r="K24" i="4" s="1"/>
  <c r="F28" i="4" l="1"/>
  <c r="G28" i="4" s="1"/>
  <c r="K28" i="4" s="1"/>
  <c r="F25" i="4"/>
  <c r="G25" i="4" s="1"/>
  <c r="K25" i="4" s="1"/>
  <c r="G30" i="4"/>
  <c r="K30" i="4" s="1"/>
  <c r="G19" i="4"/>
  <c r="K19" i="4" s="1"/>
  <c r="H19" i="4"/>
  <c r="J19" i="4" s="1"/>
  <c r="G22" i="4"/>
  <c r="K22" i="4" s="1"/>
  <c r="G18" i="4"/>
  <c r="K18" i="4" s="1"/>
  <c r="G14" i="4"/>
  <c r="K14" i="4" s="1"/>
  <c r="H22" i="4"/>
  <c r="J22" i="4" s="1"/>
  <c r="H18" i="4"/>
  <c r="J18" i="4" s="1"/>
  <c r="H21" i="4"/>
  <c r="J21" i="4" s="1"/>
  <c r="H17" i="4"/>
  <c r="J17" i="4" s="1"/>
  <c r="H13" i="4"/>
  <c r="J13" i="4" s="1"/>
  <c r="G15" i="4"/>
  <c r="K15" i="4" s="1"/>
  <c r="G20" i="4"/>
  <c r="K20" i="4" s="1"/>
  <c r="H16" i="4"/>
  <c r="J16" i="4" s="1"/>
  <c r="G23" i="4"/>
  <c r="K23" i="4" s="1"/>
  <c r="H25" i="4" l="1"/>
  <c r="J25" i="4" s="1"/>
  <c r="H28" i="4"/>
  <c r="J28" i="4" s="1"/>
  <c r="H23" i="4"/>
  <c r="J23" i="4" s="1"/>
  <c r="G16" i="4"/>
  <c r="K16" i="4" s="1"/>
  <c r="G21" i="4"/>
  <c r="K21" i="4" s="1"/>
  <c r="H15" i="4"/>
  <c r="J15" i="4" s="1"/>
  <c r="H14" i="4"/>
  <c r="J14" i="4" s="1"/>
  <c r="G13" i="4"/>
  <c r="K13" i="4" s="1"/>
  <c r="H20" i="4"/>
  <c r="J20" i="4" s="1"/>
  <c r="G17" i="4"/>
  <c r="K17" i="4" s="1"/>
  <c r="E10" i="4" l="1"/>
  <c r="D10" i="4"/>
  <c r="H10" i="4" s="1"/>
  <c r="J10" i="4" s="1"/>
  <c r="C10" i="4"/>
  <c r="G10" i="4" s="1"/>
  <c r="K10" i="4" s="1"/>
  <c r="B10" i="4"/>
  <c r="A10" i="4"/>
  <c r="F5" i="4"/>
  <c r="E7" i="2"/>
  <c r="E7" i="3" s="1"/>
  <c r="I5" i="4" s="1"/>
  <c r="C7" i="2"/>
  <c r="C7" i="3" s="1"/>
  <c r="D5" i="4" s="1"/>
  <c r="F211" i="1" l="1"/>
  <c r="E94" i="2" l="1"/>
</calcChain>
</file>

<file path=xl/sharedStrings.xml><?xml version="1.0" encoding="utf-8"?>
<sst xmlns="http://schemas.openxmlformats.org/spreadsheetml/2006/main" count="499" uniqueCount="267">
  <si>
    <t>MONSTER GARAGE</t>
  </si>
  <si>
    <t>JOURNAL DE CAISSE</t>
  </si>
  <si>
    <t>WIDINE MOTORS SERVICE</t>
  </si>
  <si>
    <t xml:space="preserve">PERIODE DU </t>
  </si>
  <si>
    <t>AU</t>
  </si>
  <si>
    <t>N° de pièce</t>
  </si>
  <si>
    <t>Date</t>
  </si>
  <si>
    <t>Désignation</t>
  </si>
  <si>
    <t>Entrée</t>
  </si>
  <si>
    <t>Sortie</t>
  </si>
  <si>
    <t>LIVRE DE CAISSE OUVRIERS A LA TACHE</t>
  </si>
  <si>
    <t>Nom &amp; Prénom</t>
  </si>
  <si>
    <t>Montant</t>
  </si>
  <si>
    <t>Fonction</t>
  </si>
  <si>
    <t>Observations</t>
  </si>
  <si>
    <t>Total Salaires</t>
  </si>
  <si>
    <t>DETAIL CA MENSUEL</t>
  </si>
  <si>
    <t>VEHICULE</t>
  </si>
  <si>
    <t>MONTANT FACTURE</t>
  </si>
  <si>
    <t>ENCAISSE</t>
  </si>
  <si>
    <t>A ENCAISSER</t>
  </si>
  <si>
    <t>IMMATRICULATION</t>
  </si>
  <si>
    <t>C DE REVIENT</t>
  </si>
  <si>
    <t>BCE PREV</t>
  </si>
  <si>
    <t>BCE TOTAL ACTUEL</t>
  </si>
  <si>
    <t>AMORT CH FIXES</t>
  </si>
  <si>
    <t>BCE ACTUEL - CH FIXES</t>
  </si>
  <si>
    <t>BCE PREV - CH FIXES</t>
  </si>
  <si>
    <t>RECAP SALAIRES</t>
  </si>
  <si>
    <t>ADMINISTRATION</t>
  </si>
  <si>
    <t>PARTICULIERS</t>
  </si>
  <si>
    <t>PREFECTURE MKH</t>
  </si>
  <si>
    <t>PROTECTION CIVILE</t>
  </si>
  <si>
    <t>CR HARBIL</t>
  </si>
  <si>
    <t>CU MARRAKECH</t>
  </si>
  <si>
    <t>N. CLT &amp; NUMERO</t>
  </si>
  <si>
    <t>AMEE</t>
  </si>
  <si>
    <t>PERIODE DU</t>
  </si>
  <si>
    <t>TOTAL SALAIRES</t>
  </si>
  <si>
    <t xml:space="preserve">MONSTER GARAGE </t>
  </si>
  <si>
    <t>TOTAL</t>
  </si>
  <si>
    <t xml:space="preserve">N° TEL </t>
  </si>
  <si>
    <t>NBRE</t>
  </si>
  <si>
    <t>MOYENNE</t>
  </si>
  <si>
    <t>SAID</t>
  </si>
  <si>
    <t>AZIZ</t>
  </si>
  <si>
    <t>ELECTRICIEN</t>
  </si>
  <si>
    <t>TARIK</t>
  </si>
  <si>
    <t>DIAGNOSTIC</t>
  </si>
  <si>
    <t>YASSINE</t>
  </si>
  <si>
    <t>MECANICIEN</t>
  </si>
  <si>
    <t>ADMINIST</t>
  </si>
  <si>
    <t>FENNI</t>
  </si>
  <si>
    <t>ABDELALI</t>
  </si>
  <si>
    <t>TACHE</t>
  </si>
  <si>
    <t>CUMUL</t>
  </si>
  <si>
    <t xml:space="preserve">MERCEDES </t>
  </si>
  <si>
    <t xml:space="preserve">DEJEUNER/AMINE </t>
  </si>
  <si>
    <t>-</t>
  </si>
  <si>
    <t>PGT 308</t>
  </si>
  <si>
    <t>COMPRESSEUR CLIM</t>
  </si>
  <si>
    <t>VERNIS / BUREAU</t>
  </si>
  <si>
    <t xml:space="preserve">GARAGE </t>
  </si>
  <si>
    <t>BOUTEILLE DE GAZ</t>
  </si>
  <si>
    <t>TOTAL                :</t>
  </si>
  <si>
    <t xml:space="preserve">Date </t>
  </si>
  <si>
    <t>Papier peint</t>
  </si>
  <si>
    <t>GARAGE</t>
  </si>
  <si>
    <t>TABLEAU DE SUIVI :</t>
  </si>
  <si>
    <t>FR DS-211-MA</t>
  </si>
  <si>
    <t>SIMOHAMED</t>
  </si>
  <si>
    <t>PEINTRE</t>
  </si>
  <si>
    <t>CREDIT</t>
  </si>
  <si>
    <t>PRIME</t>
  </si>
  <si>
    <t>dépannage</t>
  </si>
  <si>
    <t>MERCEDES G63 AMG</t>
  </si>
  <si>
    <t>26826 - T - 1</t>
  </si>
  <si>
    <t>AVANCE</t>
  </si>
  <si>
    <t>100-83</t>
  </si>
  <si>
    <t>FEUILLES DE PAPIER</t>
  </si>
  <si>
    <t>300-84</t>
  </si>
  <si>
    <t>M 215843</t>
  </si>
  <si>
    <t>600 - 85</t>
  </si>
  <si>
    <t>600 - 86</t>
  </si>
  <si>
    <t>J 202955</t>
  </si>
  <si>
    <t>100 - 87</t>
  </si>
  <si>
    <t>TOYOTA HILUX - NARSA</t>
  </si>
  <si>
    <t>DACIA LOGAN - WILA</t>
  </si>
  <si>
    <t>RENAULT KANGOO - HARB</t>
  </si>
  <si>
    <t>DACIA DUSTER - WILA</t>
  </si>
  <si>
    <t>J 217690</t>
  </si>
  <si>
    <t>Electricité</t>
  </si>
  <si>
    <t>Travail effectué</t>
  </si>
  <si>
    <t>Mécanicient</t>
  </si>
  <si>
    <t>Immatriculation</t>
  </si>
  <si>
    <t>Total</t>
  </si>
  <si>
    <t>youssef</t>
  </si>
  <si>
    <t>Mercedes G63</t>
  </si>
  <si>
    <t>BMW</t>
  </si>
  <si>
    <t>Vidange simple</t>
  </si>
  <si>
    <t>Vidange complet</t>
  </si>
  <si>
    <t>yassine</t>
  </si>
  <si>
    <t>Hyundai creta</t>
  </si>
  <si>
    <t>VW passat</t>
  </si>
  <si>
    <t>vidange simple</t>
  </si>
  <si>
    <t>pajero</t>
  </si>
  <si>
    <t>kit-VC</t>
  </si>
  <si>
    <t>VW T</t>
  </si>
  <si>
    <t>Peugeot</t>
  </si>
  <si>
    <t>TABLEAU DES TRAVAUX DES VEHICULES</t>
  </si>
  <si>
    <t>ford tr HAR</t>
  </si>
  <si>
    <t>Hyundai I40</t>
  </si>
  <si>
    <t>VC</t>
  </si>
  <si>
    <t>Toyota narsa</t>
  </si>
  <si>
    <t>M 195033</t>
  </si>
  <si>
    <t>VC plaquette</t>
  </si>
  <si>
    <t>Pompe embrayage</t>
  </si>
  <si>
    <t>Véhicule</t>
  </si>
  <si>
    <t>DACIA DUSTER WILA</t>
  </si>
  <si>
    <t>VW</t>
  </si>
  <si>
    <t>M218563</t>
  </si>
  <si>
    <t>AMRT+PLAQUETTE+VS+KIT+TENDEUR+</t>
  </si>
  <si>
    <t>AYOUB</t>
  </si>
  <si>
    <t>MECANICIEN NAUTIQUE - RESTE = 4000DH</t>
  </si>
  <si>
    <t>ABDESLAM</t>
  </si>
  <si>
    <t>ZOUHEIR</t>
  </si>
  <si>
    <t>OUTHMANE</t>
  </si>
  <si>
    <t>SALIMA</t>
  </si>
  <si>
    <t>TOLIER</t>
  </si>
  <si>
    <t>OUVRIER</t>
  </si>
  <si>
    <t>QUINZ 15/04/2026</t>
  </si>
  <si>
    <t>HYUNDAI TUCSON</t>
  </si>
  <si>
    <t>DACIA LOGAN-AMEE</t>
  </si>
  <si>
    <t>M216483</t>
  </si>
  <si>
    <t>800 - 89</t>
  </si>
  <si>
    <t>M235133</t>
  </si>
  <si>
    <t>NARSA</t>
  </si>
  <si>
    <t>M197496</t>
  </si>
  <si>
    <t>DACIA DOCKER - NARSA</t>
  </si>
  <si>
    <t>600-91</t>
  </si>
  <si>
    <t>MITSUBISHI PAJERO SPORT HARB</t>
  </si>
  <si>
    <t>J 219569</t>
  </si>
  <si>
    <t>100 -90</t>
  </si>
  <si>
    <t>100-88</t>
  </si>
  <si>
    <t>60915 - T - 6</t>
  </si>
  <si>
    <t>300 - …</t>
  </si>
  <si>
    <t>X</t>
  </si>
  <si>
    <t>RLT CAPTUR</t>
  </si>
  <si>
    <t>14018 - D - 26</t>
  </si>
  <si>
    <t>RENAULT</t>
  </si>
  <si>
    <t>WW713814</t>
  </si>
  <si>
    <t>Total                            :</t>
  </si>
  <si>
    <t>600-92</t>
  </si>
  <si>
    <t>RENAULT MASTER</t>
  </si>
  <si>
    <t>J 248320</t>
  </si>
  <si>
    <t>116-96</t>
  </si>
  <si>
    <t>100-93</t>
  </si>
  <si>
    <t>RADIATEUR D HUILE</t>
  </si>
  <si>
    <t>248320 - J</t>
  </si>
  <si>
    <t>VC -COURROIE</t>
  </si>
  <si>
    <t>MERCEDES E350d</t>
  </si>
  <si>
    <t>RENAULT MASTER HARB</t>
  </si>
  <si>
    <t>Oni</t>
  </si>
  <si>
    <t>Ménage</t>
  </si>
  <si>
    <t>Dépannage</t>
  </si>
  <si>
    <t>Eau</t>
  </si>
  <si>
    <t>Parfum</t>
  </si>
  <si>
    <t>Déjeuner</t>
  </si>
  <si>
    <t>Tide</t>
  </si>
  <si>
    <t>Said produit</t>
  </si>
  <si>
    <t>Salaire abdeslam</t>
  </si>
  <si>
    <t xml:space="preserve">Cable </t>
  </si>
  <si>
    <t>Déjauner</t>
  </si>
  <si>
    <t>Electricien</t>
  </si>
  <si>
    <t>Ahmed</t>
  </si>
  <si>
    <t>Souris</t>
  </si>
  <si>
    <t>Déjaeuner</t>
  </si>
  <si>
    <t>Garage</t>
  </si>
  <si>
    <t>Grafeuse</t>
  </si>
  <si>
    <t>Produit ntt</t>
  </si>
  <si>
    <t>DACIA DUSTER HARBIL</t>
  </si>
  <si>
    <t>J 185418</t>
  </si>
  <si>
    <t>600 - 95</t>
  </si>
  <si>
    <t>91092-A-26</t>
  </si>
  <si>
    <t>DACIA LOGAN</t>
  </si>
  <si>
    <t>100 - 96</t>
  </si>
  <si>
    <t>PGT BOXER</t>
  </si>
  <si>
    <t>M234914</t>
  </si>
  <si>
    <t>rincage yassine</t>
  </si>
  <si>
    <t>PORSCHE 911</t>
  </si>
  <si>
    <t>ESPAGNE</t>
  </si>
  <si>
    <t xml:space="preserve">SAID </t>
  </si>
  <si>
    <t>coleurs d'immp</t>
  </si>
  <si>
    <t>100 - 97</t>
  </si>
  <si>
    <t>REF+VS</t>
  </si>
  <si>
    <t>AMRT</t>
  </si>
  <si>
    <t>Imprimante</t>
  </si>
  <si>
    <t>WILA-</t>
  </si>
  <si>
    <t>100 - 98</t>
  </si>
  <si>
    <t>JEEP GD CHEROKEE</t>
  </si>
  <si>
    <t>41724 - T - 1</t>
  </si>
  <si>
    <t>M199903</t>
  </si>
  <si>
    <t xml:space="preserve"> YOUSSEF 199903M WILA</t>
  </si>
  <si>
    <t>AHMED</t>
  </si>
  <si>
    <t>FENNI CLV</t>
  </si>
  <si>
    <t>HARBILE</t>
  </si>
  <si>
    <t>AUDI</t>
  </si>
  <si>
    <t>PLAQUETTES</t>
  </si>
  <si>
    <t>PEUGEOT PARTNER</t>
  </si>
  <si>
    <t>M174633</t>
  </si>
  <si>
    <t>J185418</t>
  </si>
  <si>
    <t>KM 211263</t>
  </si>
  <si>
    <t>100 - 94</t>
  </si>
  <si>
    <t>KM</t>
  </si>
  <si>
    <t>KM 186732</t>
  </si>
  <si>
    <t>600-100</t>
  </si>
  <si>
    <t>600-101</t>
  </si>
  <si>
    <t>600-102</t>
  </si>
  <si>
    <t>J207789</t>
  </si>
  <si>
    <t>KM342632</t>
  </si>
  <si>
    <t>J0248319</t>
  </si>
  <si>
    <t>KM59774</t>
  </si>
  <si>
    <t>FORD TRANSIT HARBIL</t>
  </si>
  <si>
    <t>FIAT DOBLO HARBIL</t>
  </si>
  <si>
    <t>600-103</t>
  </si>
  <si>
    <t>J0257528</t>
  </si>
  <si>
    <t>KM57190</t>
  </si>
  <si>
    <t>Said  déjeuner</t>
  </si>
  <si>
    <t xml:space="preserve">SAID  </t>
  </si>
  <si>
    <t>AZIZ WILA</t>
  </si>
  <si>
    <t>Ménage Produit</t>
  </si>
  <si>
    <t>garage</t>
  </si>
  <si>
    <t>CLIO</t>
  </si>
  <si>
    <t>55449-D-26</t>
  </si>
  <si>
    <t>M166303</t>
  </si>
  <si>
    <t>800-104</t>
  </si>
  <si>
    <t>600-105</t>
  </si>
  <si>
    <t>VW PASSAT</t>
  </si>
  <si>
    <t>J219569</t>
  </si>
  <si>
    <t>300-…</t>
  </si>
  <si>
    <t>600-99</t>
  </si>
  <si>
    <t>J0248320</t>
  </si>
  <si>
    <t>VS+INJECTEUFR</t>
  </si>
  <si>
    <t>SAID  L'éssence</t>
  </si>
  <si>
    <t>AZIZ L'éssence</t>
  </si>
  <si>
    <t>MERCEDES</t>
  </si>
  <si>
    <t>76786-B-26</t>
  </si>
  <si>
    <t>010-106</t>
  </si>
  <si>
    <t>600-107</t>
  </si>
  <si>
    <t>KM101074</t>
  </si>
  <si>
    <t>EAU</t>
  </si>
  <si>
    <t>ABDELLHADI</t>
  </si>
  <si>
    <t>600-108</t>
  </si>
  <si>
    <t>100-109</t>
  </si>
  <si>
    <t>PEUGEOT 208</t>
  </si>
  <si>
    <t>80130-B-26</t>
  </si>
  <si>
    <t>HYUNDAI I40</t>
  </si>
  <si>
    <t>PEUGEOT BOXER</t>
  </si>
  <si>
    <t>KM42771</t>
  </si>
  <si>
    <t>Moteur harbil</t>
  </si>
  <si>
    <t>tide</t>
  </si>
  <si>
    <t>recu</t>
  </si>
  <si>
    <t>amortisseurs</t>
  </si>
  <si>
    <t>J204318</t>
  </si>
  <si>
    <t>600</t>
  </si>
  <si>
    <t>DACIA LOGAN HARBIL</t>
  </si>
  <si>
    <t>KM 246235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</si>
</sst>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.00_-;\-* #,##0.0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36"/>
      <color rgb="FF0070C0"/>
      <name val="Aptos Narrow"/>
      <family val="2"/>
    </font>
    <font>
      <b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i/>
      <u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2"/>
      <color theme="4" tint="-0.249977111117893"/>
      <name val="Calibri"/>
      <family val="2"/>
    </font>
    <font>
      <b/>
      <i/>
      <u/>
      <sz val="14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u/>
      <sz val="12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b/>
      <i/>
      <u val="singleAccounting"/>
      <sz val="12"/>
      <color rgb="FF002060"/>
      <name val="Calibri"/>
      <family val="2"/>
      <scheme val="minor"/>
    </font>
    <font>
      <b/>
      <u/>
      <sz val="12"/>
      <color rgb="FF000000"/>
      <name val="Calibri"/>
      <family val="2"/>
    </font>
    <font>
      <b/>
      <u/>
      <sz val="12"/>
      <color rgb="FFFF0000"/>
      <name val="Calibri"/>
      <family val="2"/>
      <scheme val="minor"/>
    </font>
    <font>
      <b/>
      <u val="double"/>
      <sz val="12"/>
      <color rgb="FFFF0000"/>
      <name val="Calibri"/>
      <family val="2"/>
      <scheme val="minor"/>
    </font>
    <font>
      <b/>
      <u/>
      <sz val="11"/>
      <color theme="4" tint="-0.249977111117893"/>
      <name val="Aptos"/>
      <family val="2"/>
    </font>
    <font>
      <b/>
      <u/>
      <sz val="11"/>
      <color theme="5" tint="-0.249977111117893"/>
      <name val="Aptos"/>
      <family val="2"/>
    </font>
    <font>
      <b/>
      <sz val="11"/>
      <color theme="1"/>
      <name val="Aptos"/>
      <family val="2"/>
    </font>
    <font>
      <b/>
      <u/>
      <sz val="36"/>
      <color rgb="FF0070C0"/>
      <name val="Calibri"/>
      <family val="2"/>
      <scheme val="minor"/>
    </font>
    <font>
      <b/>
      <i/>
      <u/>
      <sz val="48"/>
      <color rgb="FF0070C0"/>
      <name val="Aptos Narrow"/>
      <family val="2"/>
    </font>
    <font>
      <i/>
      <u/>
      <sz val="14"/>
      <color theme="1"/>
      <name val="Calibri"/>
      <family val="2"/>
      <scheme val="minor"/>
    </font>
    <font>
      <b/>
      <i/>
      <u/>
      <sz val="36"/>
      <color theme="4" tint="-0.249977111117893"/>
      <name val="Calibri"/>
      <family val="2"/>
      <scheme val="minor"/>
    </font>
    <font>
      <b/>
      <i/>
      <u/>
      <sz val="11"/>
      <color theme="1"/>
      <name val="Calibri Light"/>
      <family val="2"/>
      <scheme val="major"/>
    </font>
    <font>
      <b/>
      <u val="singleAccounting"/>
      <sz val="11"/>
      <color theme="1"/>
      <name val="Calibri"/>
      <family val="2"/>
      <scheme val="minor"/>
    </font>
    <font>
      <b/>
      <i/>
      <u val="singleAccounting"/>
      <sz val="11"/>
      <color theme="1"/>
      <name val="Calibri"/>
      <family val="2"/>
      <scheme val="minor"/>
    </font>
    <font>
      <b/>
      <u/>
      <sz val="14"/>
      <color theme="4" tint="-0.499984740745262"/>
      <name val="Calibri"/>
      <family val="2"/>
      <scheme val="minor"/>
    </font>
    <font>
      <b/>
      <sz val="12"/>
      <name val="Calibri"/>
      <family val="2"/>
    </font>
    <font>
      <b/>
      <i/>
      <sz val="12"/>
      <color rgb="FF000000"/>
      <name val="Calibri"/>
      <family val="2"/>
    </font>
    <font>
      <b/>
      <i/>
      <sz val="12"/>
      <name val="Calibri"/>
      <family val="2"/>
    </font>
    <font>
      <b/>
      <sz val="12"/>
      <color theme="1"/>
      <name val="Calibri"/>
      <family val="2"/>
    </font>
    <font>
      <b/>
      <u val="singleAccounting"/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2"/>
      <color rgb="FFC00000"/>
      <name val="Calibri"/>
      <family val="2"/>
    </font>
    <font>
      <u/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164" fontId="9" fillId="0" borderId="0" xfId="1" applyFont="1" applyFill="1" applyBorder="1" applyAlignment="1">
      <alignment horizontal="center"/>
    </xf>
    <xf numFmtId="164" fontId="6" fillId="0" borderId="0" xfId="1" applyFont="1" applyFill="1" applyBorder="1"/>
    <xf numFmtId="164" fontId="3" fillId="0" borderId="0" xfId="1" applyFont="1" applyAlignment="1">
      <alignment horizontal="center"/>
    </xf>
    <xf numFmtId="164" fontId="0" fillId="0" borderId="0" xfId="1" applyFont="1"/>
    <xf numFmtId="43" fontId="0" fillId="0" borderId="0" xfId="0" applyNumberFormat="1"/>
    <xf numFmtId="164" fontId="11" fillId="0" borderId="0" xfId="1" applyFont="1" applyFill="1" applyBorder="1"/>
    <xf numFmtId="14" fontId="0" fillId="0" borderId="0" xfId="0" applyNumberFormat="1"/>
    <xf numFmtId="9" fontId="0" fillId="0" borderId="0" xfId="2" applyFont="1" applyAlignment="1">
      <alignment horizontal="center" vertical="center"/>
    </xf>
    <xf numFmtId="9" fontId="0" fillId="0" borderId="0" xfId="2" applyFont="1" applyAlignment="1">
      <alignment horizontal="center"/>
    </xf>
    <xf numFmtId="0" fontId="4" fillId="0" borderId="0" xfId="0" applyFont="1"/>
    <xf numFmtId="14" fontId="13" fillId="0" borderId="0" xfId="0" applyNumberFormat="1" applyFont="1" applyAlignment="1">
      <alignment horizontal="center"/>
    </xf>
    <xf numFmtId="14" fontId="13" fillId="0" borderId="0" xfId="0" applyNumberFormat="1" applyFont="1"/>
    <xf numFmtId="0" fontId="15" fillId="0" borderId="0" xfId="0" applyFont="1"/>
    <xf numFmtId="14" fontId="18" fillId="0" borderId="0" xfId="0" applyNumberFormat="1" applyFont="1" applyAlignment="1">
      <alignment horizontal="center"/>
    </xf>
    <xf numFmtId="0" fontId="17" fillId="0" borderId="0" xfId="0" applyFont="1"/>
    <xf numFmtId="0" fontId="1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22" fillId="0" borderId="2" xfId="0" applyFont="1" applyBorder="1"/>
    <xf numFmtId="0" fontId="0" fillId="0" borderId="2" xfId="0" applyBorder="1"/>
    <xf numFmtId="43" fontId="17" fillId="0" borderId="0" xfId="0" applyNumberFormat="1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5" fillId="0" borderId="0" xfId="0" applyFont="1" applyAlignment="1">
      <alignment vertical="top"/>
    </xf>
    <xf numFmtId="0" fontId="0" fillId="2" borderId="6" xfId="0" applyFill="1" applyBorder="1"/>
    <xf numFmtId="0" fontId="20" fillId="3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164" fontId="25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14" fontId="24" fillId="3" borderId="0" xfId="0" applyNumberFormat="1" applyFont="1" applyFill="1" applyAlignment="1">
      <alignment horizontal="center"/>
    </xf>
    <xf numFmtId="164" fontId="5" fillId="3" borderId="0" xfId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14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7" fillId="7" borderId="4" xfId="0" applyFont="1" applyFill="1" applyBorder="1" applyAlignment="1">
      <alignment horizontal="center" vertical="center"/>
    </xf>
    <xf numFmtId="164" fontId="17" fillId="7" borderId="4" xfId="1" applyFont="1" applyFill="1" applyBorder="1" applyAlignment="1">
      <alignment horizontal="center" vertical="center"/>
    </xf>
    <xf numFmtId="164" fontId="17" fillId="7" borderId="4" xfId="1" applyFont="1" applyFill="1" applyBorder="1"/>
    <xf numFmtId="43" fontId="17" fillId="7" borderId="4" xfId="0" applyNumberFormat="1" applyFont="1" applyFill="1" applyBorder="1"/>
    <xf numFmtId="164" fontId="17" fillId="7" borderId="4" xfId="0" applyNumberFormat="1" applyFont="1" applyFill="1" applyBorder="1"/>
    <xf numFmtId="0" fontId="17" fillId="7" borderId="4" xfId="0" applyFont="1" applyFill="1" applyBorder="1"/>
    <xf numFmtId="164" fontId="1" fillId="7" borderId="4" xfId="1" applyFont="1" applyFill="1" applyBorder="1"/>
    <xf numFmtId="0" fontId="1" fillId="7" borderId="4" xfId="0" applyFont="1" applyFill="1" applyBorder="1"/>
    <xf numFmtId="49" fontId="22" fillId="7" borderId="4" xfId="0" applyNumberFormat="1" applyFont="1" applyFill="1" applyBorder="1" applyAlignment="1">
      <alignment horizontal="center" vertical="center"/>
    </xf>
    <xf numFmtId="49" fontId="22" fillId="7" borderId="4" xfId="0" applyNumberFormat="1" applyFont="1" applyFill="1" applyBorder="1" applyAlignment="1">
      <alignment horizontal="center"/>
    </xf>
    <xf numFmtId="49" fontId="4" fillId="7" borderId="4" xfId="0" applyNumberFormat="1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64" fontId="4" fillId="7" borderId="4" xfId="1" applyFont="1" applyFill="1" applyBorder="1"/>
    <xf numFmtId="164" fontId="35" fillId="7" borderId="4" xfId="0" applyNumberFormat="1" applyFont="1" applyFill="1" applyBorder="1"/>
    <xf numFmtId="164" fontId="1" fillId="7" borderId="4" xfId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/>
    </xf>
    <xf numFmtId="0" fontId="22" fillId="7" borderId="4" xfId="0" applyFont="1" applyFill="1" applyBorder="1"/>
    <xf numFmtId="0" fontId="0" fillId="7" borderId="4" xfId="0" applyFill="1" applyBorder="1"/>
    <xf numFmtId="0" fontId="22" fillId="7" borderId="2" xfId="0" applyFont="1" applyFill="1" applyBorder="1"/>
    <xf numFmtId="0" fontId="17" fillId="7" borderId="0" xfId="0" applyFont="1" applyFill="1"/>
    <xf numFmtId="0" fontId="17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19" fillId="7" borderId="4" xfId="0" applyFont="1" applyFill="1" applyBorder="1" applyAlignment="1">
      <alignment horizontal="center"/>
    </xf>
    <xf numFmtId="14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0" fillId="7" borderId="4" xfId="0" applyFont="1" applyFill="1" applyBorder="1" applyAlignment="1">
      <alignment horizontal="center"/>
    </xf>
    <xf numFmtId="0" fontId="24" fillId="7" borderId="4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7" fillId="7" borderId="4" xfId="0" applyFont="1" applyFill="1" applyBorder="1" applyAlignment="1">
      <alignment horizontal="center" vertical="center"/>
    </xf>
    <xf numFmtId="164" fontId="38" fillId="7" borderId="4" xfId="1" applyFont="1" applyFill="1" applyBorder="1" applyAlignment="1">
      <alignment horizontal="center" vertical="center"/>
    </xf>
    <xf numFmtId="164" fontId="39" fillId="2" borderId="4" xfId="1" applyFont="1" applyFill="1" applyBorder="1" applyAlignment="1">
      <alignment horizontal="center" vertical="center"/>
    </xf>
    <xf numFmtId="0" fontId="0" fillId="8" borderId="0" xfId="0" applyFill="1"/>
    <xf numFmtId="0" fontId="16" fillId="5" borderId="11" xfId="0" applyFont="1" applyFill="1" applyBorder="1" applyAlignment="1">
      <alignment horizontal="center" vertical="center"/>
    </xf>
    <xf numFmtId="164" fontId="17" fillId="7" borderId="11" xfId="1" applyFont="1" applyFill="1" applyBorder="1" applyAlignment="1">
      <alignment horizontal="center" vertical="center"/>
    </xf>
    <xf numFmtId="0" fontId="17" fillId="7" borderId="11" xfId="0" applyFont="1" applyFill="1" applyBorder="1"/>
    <xf numFmtId="0" fontId="0" fillId="0" borderId="4" xfId="0" applyBorder="1"/>
    <xf numFmtId="0" fontId="4" fillId="0" borderId="4" xfId="0" applyFont="1" applyBorder="1"/>
    <xf numFmtId="0" fontId="40" fillId="5" borderId="4" xfId="0" applyFont="1" applyFill="1" applyBorder="1" applyAlignment="1">
      <alignment horizontal="center" vertical="center"/>
    </xf>
    <xf numFmtId="0" fontId="17" fillId="0" borderId="4" xfId="0" applyFont="1" applyBorder="1"/>
    <xf numFmtId="49" fontId="17" fillId="0" borderId="4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64" fontId="17" fillId="0" borderId="4" xfId="1" applyFont="1" applyFill="1" applyBorder="1" applyAlignment="1">
      <alignment horizontal="center" vertical="center"/>
    </xf>
    <xf numFmtId="164" fontId="17" fillId="0" borderId="4" xfId="1" applyFont="1" applyFill="1" applyBorder="1"/>
    <xf numFmtId="43" fontId="17" fillId="0" borderId="4" xfId="0" applyNumberFormat="1" applyFont="1" applyBorder="1"/>
    <xf numFmtId="164" fontId="17" fillId="0" borderId="4" xfId="0" applyNumberFormat="1" applyFont="1" applyBorder="1"/>
    <xf numFmtId="164" fontId="3" fillId="0" borderId="4" xfId="1" applyFont="1" applyFill="1" applyBorder="1" applyAlignment="1">
      <alignment horizontal="center"/>
    </xf>
    <xf numFmtId="164" fontId="24" fillId="0" borderId="4" xfId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4" xfId="0" applyFont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7" fillId="0" borderId="4" xfId="1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 vertical="center"/>
    </xf>
    <xf numFmtId="164" fontId="17" fillId="10" borderId="4" xfId="1" applyFont="1" applyFill="1" applyBorder="1" applyAlignment="1">
      <alignment horizontal="center" vertical="center"/>
    </xf>
    <xf numFmtId="164" fontId="17" fillId="10" borderId="11" xfId="1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14" fontId="27" fillId="0" borderId="0" xfId="0" applyNumberFormat="1" applyFont="1" applyAlignment="1">
      <alignment horizontal="center"/>
    </xf>
    <xf numFmtId="14" fontId="27" fillId="0" borderId="0" xfId="0" applyNumberFormat="1" applyFont="1"/>
    <xf numFmtId="0" fontId="50" fillId="0" borderId="0" xfId="0" applyFont="1"/>
    <xf numFmtId="0" fontId="42" fillId="0" borderId="8" xfId="0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1" applyFont="1" applyFill="1" applyBorder="1" applyAlignment="1">
      <alignment horizontal="center"/>
    </xf>
    <xf numFmtId="164" fontId="44" fillId="0" borderId="0" xfId="1" applyFont="1" applyFill="1" applyBorder="1"/>
    <xf numFmtId="0" fontId="4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164" fontId="41" fillId="0" borderId="0" xfId="1" applyFont="1" applyFill="1" applyBorder="1"/>
    <xf numFmtId="14" fontId="42" fillId="0" borderId="0" xfId="0" applyNumberFormat="1" applyFont="1" applyAlignment="1">
      <alignment horizontal="center"/>
    </xf>
    <xf numFmtId="0" fontId="22" fillId="0" borderId="11" xfId="0" applyFont="1" applyBorder="1" applyAlignment="1">
      <alignment horizontal="center"/>
    </xf>
    <xf numFmtId="0" fontId="47" fillId="8" borderId="11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47" fillId="8" borderId="4" xfId="0" applyFont="1" applyFill="1" applyBorder="1" applyAlignment="1">
      <alignment horizontal="center"/>
    </xf>
    <xf numFmtId="14" fontId="22" fillId="0" borderId="4" xfId="0" applyNumberFormat="1" applyFont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9" fillId="7" borderId="8" xfId="0" applyFont="1" applyFill="1" applyBorder="1" applyAlignment="1">
      <alignment horizontal="center"/>
    </xf>
    <xf numFmtId="14" fontId="3" fillId="7" borderId="8" xfId="0" applyNumberFormat="1" applyFont="1" applyFill="1" applyBorder="1" applyAlignment="1">
      <alignment horizontal="center"/>
    </xf>
    <xf numFmtId="164" fontId="3" fillId="0" borderId="8" xfId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164" fontId="0" fillId="0" borderId="0" xfId="0" applyNumberFormat="1"/>
    <xf numFmtId="14" fontId="10" fillId="11" borderId="10" xfId="0" applyNumberFormat="1" applyFont="1" applyFill="1" applyBorder="1" applyAlignment="1">
      <alignment horizontal="center"/>
    </xf>
    <xf numFmtId="164" fontId="10" fillId="11" borderId="10" xfId="1" applyFont="1" applyFill="1" applyBorder="1" applyAlignment="1">
      <alignment horizontal="center"/>
    </xf>
    <xf numFmtId="0" fontId="19" fillId="12" borderId="10" xfId="0" applyFont="1" applyFill="1" applyBorder="1" applyAlignment="1">
      <alignment horizontal="center"/>
    </xf>
    <xf numFmtId="14" fontId="3" fillId="12" borderId="10" xfId="0" applyNumberFormat="1" applyFont="1" applyFill="1" applyBorder="1" applyAlignment="1">
      <alignment horizontal="center"/>
    </xf>
    <xf numFmtId="164" fontId="3" fillId="12" borderId="10" xfId="1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19" fillId="12" borderId="4" xfId="0" applyFont="1" applyFill="1" applyBorder="1" applyAlignment="1">
      <alignment horizontal="center"/>
    </xf>
    <xf numFmtId="14" fontId="3" fillId="12" borderId="4" xfId="0" applyNumberFormat="1" applyFont="1" applyFill="1" applyBorder="1" applyAlignment="1">
      <alignment horizontal="center"/>
    </xf>
    <xf numFmtId="164" fontId="3" fillId="12" borderId="4" xfId="1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19" fillId="12" borderId="13" xfId="0" applyFont="1" applyFill="1" applyBorder="1" applyAlignment="1">
      <alignment horizontal="center"/>
    </xf>
    <xf numFmtId="14" fontId="3" fillId="12" borderId="13" xfId="0" applyNumberFormat="1" applyFont="1" applyFill="1" applyBorder="1" applyAlignment="1">
      <alignment horizontal="center"/>
    </xf>
    <xf numFmtId="164" fontId="3" fillId="12" borderId="13" xfId="1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17" fillId="11" borderId="4" xfId="0" applyFont="1" applyFill="1" applyBorder="1" applyAlignment="1">
      <alignment horizontal="center" vertical="center"/>
    </xf>
    <xf numFmtId="164" fontId="17" fillId="11" borderId="4" xfId="1" applyFont="1" applyFill="1" applyBorder="1" applyAlignment="1">
      <alignment horizontal="center" vertical="center"/>
    </xf>
    <xf numFmtId="164" fontId="17" fillId="11" borderId="11" xfId="1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/>
    </xf>
    <xf numFmtId="164" fontId="17" fillId="13" borderId="4" xfId="1" applyFont="1" applyFill="1" applyBorder="1" applyAlignment="1">
      <alignment horizontal="center" vertical="center"/>
    </xf>
    <xf numFmtId="164" fontId="17" fillId="13" borderId="11" xfId="1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164" fontId="17" fillId="3" borderId="4" xfId="1" applyFont="1" applyFill="1" applyBorder="1" applyAlignment="1">
      <alignment horizontal="center" vertical="center"/>
    </xf>
    <xf numFmtId="164" fontId="17" fillId="3" borderId="11" xfId="1" applyFont="1" applyFill="1" applyBorder="1" applyAlignment="1">
      <alignment horizontal="center" vertical="center"/>
    </xf>
    <xf numFmtId="49" fontId="22" fillId="10" borderId="4" xfId="0" applyNumberFormat="1" applyFont="1" applyFill="1" applyBorder="1" applyAlignment="1">
      <alignment horizontal="center" vertical="center"/>
    </xf>
    <xf numFmtId="49" fontId="22" fillId="3" borderId="4" xfId="0" applyNumberFormat="1" applyFont="1" applyFill="1" applyBorder="1" applyAlignment="1">
      <alignment horizontal="center" vertical="center"/>
    </xf>
    <xf numFmtId="49" fontId="22" fillId="11" borderId="4" xfId="0" applyNumberFormat="1" applyFont="1" applyFill="1" applyBorder="1" applyAlignment="1">
      <alignment horizontal="center" vertical="center"/>
    </xf>
    <xf numFmtId="49" fontId="22" fillId="0" borderId="4" xfId="0" applyNumberFormat="1" applyFont="1" applyBorder="1" applyAlignment="1">
      <alignment horizontal="center" vertical="center"/>
    </xf>
    <xf numFmtId="49" fontId="22" fillId="1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14" borderId="4" xfId="0" applyFont="1" applyFill="1" applyBorder="1" applyAlignment="1">
      <alignment horizontal="center"/>
    </xf>
    <xf numFmtId="164" fontId="7" fillId="14" borderId="4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4" fillId="5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17" fillId="3" borderId="4" xfId="0" applyFont="1" applyFill="1" applyBorder="1"/>
    <xf numFmtId="0" fontId="17" fillId="15" borderId="4" xfId="0" applyFont="1" applyFill="1" applyBorder="1" applyAlignment="1">
      <alignment horizontal="center" vertical="center"/>
    </xf>
    <xf numFmtId="164" fontId="17" fillId="15" borderId="4" xfId="1" applyFont="1" applyFill="1" applyBorder="1" applyAlignment="1">
      <alignment horizontal="center" vertical="center"/>
    </xf>
    <xf numFmtId="164" fontId="17" fillId="15" borderId="11" xfId="1" applyFont="1" applyFill="1" applyBorder="1" applyAlignment="1">
      <alignment horizontal="center" vertical="center"/>
    </xf>
    <xf numFmtId="0" fontId="17" fillId="15" borderId="4" xfId="0" applyFont="1" applyFill="1" applyBorder="1"/>
    <xf numFmtId="0" fontId="17" fillId="10" borderId="4" xfId="0" applyFont="1" applyFill="1" applyBorder="1"/>
    <xf numFmtId="0" fontId="17" fillId="13" borderId="4" xfId="0" applyFont="1" applyFill="1" applyBorder="1"/>
    <xf numFmtId="0" fontId="17" fillId="11" borderId="4" xfId="0" applyFont="1" applyFill="1" applyBorder="1"/>
    <xf numFmtId="49" fontId="22" fillId="15" borderId="4" xfId="0" applyNumberFormat="1" applyFont="1" applyFill="1" applyBorder="1" applyAlignment="1">
      <alignment horizontal="center"/>
    </xf>
    <xf numFmtId="49" fontId="22" fillId="11" borderId="4" xfId="0" applyNumberFormat="1" applyFont="1" applyFill="1" applyBorder="1" applyAlignment="1">
      <alignment horizontal="center"/>
    </xf>
    <xf numFmtId="14" fontId="17" fillId="10" borderId="4" xfId="0" applyNumberFormat="1" applyFont="1" applyFill="1" applyBorder="1"/>
    <xf numFmtId="0" fontId="0" fillId="0" borderId="0" xfId="0" applyAlignment="1">
      <alignment horizontal="center"/>
    </xf>
    <xf numFmtId="49" fontId="22" fillId="0" borderId="4" xfId="0" applyNumberFormat="1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 vertical="center"/>
    </xf>
    <xf numFmtId="0" fontId="17" fillId="0" borderId="4" xfId="0" applyFont="1" applyFill="1" applyBorder="1"/>
    <xf numFmtId="164" fontId="17" fillId="0" borderId="11" xfId="1" applyFont="1" applyFill="1" applyBorder="1" applyAlignment="1">
      <alignment horizontal="center" vertical="center"/>
    </xf>
    <xf numFmtId="49" fontId="22" fillId="16" borderId="4" xfId="0" applyNumberFormat="1" applyFont="1" applyFill="1" applyBorder="1" applyAlignment="1">
      <alignment horizontal="center"/>
    </xf>
    <xf numFmtId="0" fontId="17" fillId="16" borderId="4" xfId="0" applyFont="1" applyFill="1" applyBorder="1" applyAlignment="1">
      <alignment horizontal="center" vertical="center"/>
    </xf>
    <xf numFmtId="164" fontId="17" fillId="16" borderId="4" xfId="1" applyFont="1" applyFill="1" applyBorder="1" applyAlignment="1">
      <alignment horizontal="center" vertical="center"/>
    </xf>
    <xf numFmtId="164" fontId="17" fillId="16" borderId="11" xfId="1" applyFont="1" applyFill="1" applyBorder="1" applyAlignment="1">
      <alignment horizontal="center" vertical="center"/>
    </xf>
    <xf numFmtId="0" fontId="17" fillId="16" borderId="4" xfId="0" applyFont="1" applyFill="1" applyBorder="1"/>
    <xf numFmtId="0" fontId="0" fillId="0" borderId="0" xfId="0" applyAlignment="1">
      <alignment horizontal="center"/>
    </xf>
    <xf numFmtId="0" fontId="17" fillId="11" borderId="4" xfId="0" applyFont="1" applyFill="1" applyBorder="1" applyAlignment="1">
      <alignment horizontal="right"/>
    </xf>
    <xf numFmtId="0" fontId="17" fillId="0" borderId="4" xfId="0" applyFont="1" applyFill="1" applyBorder="1" applyAlignment="1">
      <alignment horizontal="right"/>
    </xf>
    <xf numFmtId="0" fontId="19" fillId="4" borderId="4" xfId="0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164" fontId="3" fillId="4" borderId="4" xfId="1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/>
    </xf>
    <xf numFmtId="49" fontId="22" fillId="10" borderId="4" xfId="0" applyNumberFormat="1" applyFont="1" applyFill="1" applyBorder="1" applyAlignment="1">
      <alignment horizontal="center"/>
    </xf>
    <xf numFmtId="0" fontId="17" fillId="10" borderId="4" xfId="0" applyFont="1" applyFill="1" applyBorder="1" applyAlignment="1">
      <alignment horizontal="right"/>
    </xf>
    <xf numFmtId="164" fontId="17" fillId="0" borderId="4" xfId="1" applyFont="1" applyBorder="1"/>
    <xf numFmtId="0" fontId="17" fillId="0" borderId="1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52" fillId="0" borderId="11" xfId="0" applyFont="1" applyBorder="1" applyAlignment="1">
      <alignment horizontal="center"/>
    </xf>
    <xf numFmtId="0" fontId="52" fillId="0" borderId="3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4" fontId="17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47" fillId="8" borderId="11" xfId="0" applyFont="1" applyFill="1" applyBorder="1" applyAlignment="1">
      <alignment horizontal="center"/>
    </xf>
    <xf numFmtId="0" fontId="47" fillId="8" borderId="3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48" fillId="2" borderId="11" xfId="0" applyFont="1" applyFill="1" applyBorder="1" applyAlignment="1">
      <alignment horizontal="center"/>
    </xf>
    <xf numFmtId="0" fontId="48" fillId="2" borderId="3" xfId="0" applyFont="1" applyFill="1" applyBorder="1" applyAlignment="1">
      <alignment horizontal="center"/>
    </xf>
    <xf numFmtId="0" fontId="47" fillId="0" borderId="11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46" fillId="3" borderId="0" xfId="0" applyFont="1" applyFill="1" applyAlignment="1">
      <alignment horizontal="center" vertical="center"/>
    </xf>
    <xf numFmtId="0" fontId="22" fillId="0" borderId="5" xfId="0" applyFont="1" applyBorder="1" applyAlignment="1">
      <alignment horizontal="center"/>
    </xf>
    <xf numFmtId="164" fontId="45" fillId="2" borderId="12" xfId="1" applyFont="1" applyFill="1" applyBorder="1" applyAlignment="1">
      <alignment horizontal="center" vertical="top"/>
    </xf>
    <xf numFmtId="164" fontId="45" fillId="2" borderId="7" xfId="1" applyFont="1" applyFill="1" applyBorder="1" applyAlignment="1">
      <alignment horizontal="center" vertical="top"/>
    </xf>
    <xf numFmtId="0" fontId="22" fillId="5" borderId="11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22" fillId="5" borderId="5" xfId="0" applyFont="1" applyFill="1" applyBorder="1" applyAlignment="1">
      <alignment horizontal="center"/>
    </xf>
    <xf numFmtId="0" fontId="51" fillId="11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64" fontId="26" fillId="3" borderId="0" xfId="1" applyFont="1" applyFill="1" applyAlignment="1">
      <alignment horizontal="center"/>
    </xf>
    <xf numFmtId="14" fontId="53" fillId="11" borderId="14" xfId="0" applyNumberFormat="1" applyFont="1" applyFill="1" applyBorder="1" applyAlignment="1">
      <alignment horizontal="center" vertical="center"/>
    </xf>
    <xf numFmtId="0" fontId="53" fillId="11" borderId="15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REPARTITION CA 04/2026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7A6-476B-BCBC-B554705F024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7A6-476B-BCBC-B554705F0240}"/>
              </c:ext>
            </c:extLst>
          </c:dPt>
          <c:cat>
            <c:strRef>
              <c:f>'REPART CA'!$A$3:$A$4</c:f>
              <c:strCache>
                <c:ptCount val="2"/>
                <c:pt idx="0">
                  <c:v>ADMINISTRATION</c:v>
                </c:pt>
                <c:pt idx="1">
                  <c:v>PARTICULIERS</c:v>
                </c:pt>
              </c:strCache>
            </c:strRef>
          </c:cat>
          <c:val>
            <c:numRef>
              <c:f>'REPART CA'!$B$3:$B$4</c:f>
              <c:numCache>
                <c:formatCode>_(* #,##0.00_);_(* \(#,##0.00\);_(* "-"??_);_(@_)</c:formatCode>
                <c:ptCount val="2"/>
                <c:pt idx="0">
                  <c:v>82290.2</c:v>
                </c:pt>
                <c:pt idx="1">
                  <c:v>11700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23F-42AD-83AE-D3BE03465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REPART ADMIN 04/2026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AF8-464C-B4A9-96D394F3AB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AF8-464C-B4A9-96D394F3AB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AF8-464C-B4A9-96D394F3ABB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AF8-464C-B4A9-96D394F3ABB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747-49E1-AA3B-31CD790008AC}"/>
              </c:ext>
            </c:extLst>
          </c:dPt>
          <c:cat>
            <c:strRef>
              <c:f>'REPART CA'!$H$3:$H$7</c:f>
              <c:strCache>
                <c:ptCount val="5"/>
                <c:pt idx="0">
                  <c:v>PREFECTURE MKH</c:v>
                </c:pt>
                <c:pt idx="1">
                  <c:v>PROTECTION CIVILE</c:v>
                </c:pt>
                <c:pt idx="2">
                  <c:v>CR HARBIL</c:v>
                </c:pt>
                <c:pt idx="3">
                  <c:v>CU MARRAKECH</c:v>
                </c:pt>
                <c:pt idx="4">
                  <c:v>AMEE</c:v>
                </c:pt>
              </c:strCache>
            </c:strRef>
          </c:cat>
          <c:val>
            <c:numRef>
              <c:f>'REPART CA'!$I$3:$I$7</c:f>
              <c:numCache>
                <c:formatCode>_(* #,##0.00_);_(* \(#,##0.00\);_(* "-"??_);_(@_)</c:formatCode>
                <c:ptCount val="5"/>
                <c:pt idx="0">
                  <c:v>43681</c:v>
                </c:pt>
                <c:pt idx="2">
                  <c:v>31085.200000000001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8-4583-AE78-DEAA3F08B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12</xdr:row>
      <xdr:rowOff>14287</xdr:rowOff>
    </xdr:from>
    <xdr:to>
      <xdr:col>6</xdr:col>
      <xdr:colOff>761999</xdr:colOff>
      <xdr:row>28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xmlns="" id="{0C4123CA-2A8B-7C0E-090E-1DA975196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1133474</xdr:colOff>
      <xdr:row>12</xdr:row>
      <xdr:rowOff>9526</xdr:rowOff>
    </xdr:from>
    <xdr:to>
      <xdr:col>16</xdr:col>
      <xdr:colOff>180974</xdr:colOff>
      <xdr:row>28</xdr:row>
      <xdr:rowOff>180976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xmlns="" id="{EC8DF933-E040-1691-866C-939C90502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U211"/>
  <sheetViews>
    <sheetView topLeftCell="A25" workbookViewId="0">
      <selection activeCell="L41" sqref="L41:M41"/>
    </sheetView>
  </sheetViews>
  <sheetFormatPr baseColWidth="10" defaultColWidth="9.140625" defaultRowHeight="15"/>
  <cols>
    <col min="1" max="1" width="20.42578125" bestFit="1" customWidth="1"/>
    <col min="2" max="2" width="12.140625" bestFit="1" customWidth="1"/>
    <col min="3" max="3" width="24.5703125" bestFit="1" customWidth="1"/>
    <col min="4" max="4" width="12.140625" bestFit="1" customWidth="1"/>
    <col min="5" max="5" width="14" bestFit="1" customWidth="1"/>
    <col min="6" max="6" width="11.5703125" bestFit="1" customWidth="1"/>
    <col min="10" max="10" width="4.85546875" customWidth="1"/>
    <col min="11" max="11" width="21.7109375" customWidth="1"/>
    <col min="12" max="12" width="14.5703125" customWidth="1"/>
    <col min="14" max="14" width="11.5703125" bestFit="1" customWidth="1"/>
  </cols>
  <sheetData>
    <row r="1" spans="1:21" ht="15" customHeight="1">
      <c r="A1" s="227" t="s">
        <v>0</v>
      </c>
      <c r="B1" s="227"/>
      <c r="C1" s="227"/>
      <c r="D1" s="227"/>
      <c r="E1" s="227"/>
      <c r="F1" s="227"/>
    </row>
    <row r="2" spans="1:21" ht="15" customHeight="1">
      <c r="A2" s="227"/>
      <c r="B2" s="227"/>
      <c r="C2" s="227"/>
      <c r="D2" s="227"/>
      <c r="E2" s="227"/>
      <c r="F2" s="227"/>
    </row>
    <row r="3" spans="1:21" ht="15.75" customHeight="1" thickBot="1">
      <c r="A3" s="228"/>
      <c r="B3" s="228"/>
      <c r="C3" s="228"/>
      <c r="D3" s="228"/>
      <c r="E3" s="228"/>
      <c r="F3" s="228"/>
    </row>
    <row r="4" spans="1:21">
      <c r="A4" s="7"/>
      <c r="B4" s="7"/>
      <c r="C4" s="7"/>
      <c r="D4" s="7"/>
      <c r="E4" s="7"/>
      <c r="F4" s="7"/>
      <c r="O4" s="230" t="s">
        <v>68</v>
      </c>
      <c r="P4" s="230"/>
      <c r="Q4" s="230"/>
      <c r="R4" s="230"/>
    </row>
    <row r="5" spans="1:21" ht="15.75">
      <c r="A5" s="28" t="s">
        <v>1</v>
      </c>
      <c r="B5" s="229" t="s">
        <v>2</v>
      </c>
      <c r="C5" s="229"/>
      <c r="F5" s="7"/>
      <c r="O5" s="230"/>
      <c r="P5" s="230"/>
      <c r="Q5" s="230"/>
      <c r="R5" s="230"/>
    </row>
    <row r="6" spans="1:21" ht="15.75">
      <c r="A6" s="8"/>
      <c r="B6" s="8"/>
      <c r="C6" s="8"/>
      <c r="D6" s="8"/>
      <c r="E6" s="7"/>
      <c r="F6" s="7"/>
      <c r="L6" s="219" t="s">
        <v>5</v>
      </c>
      <c r="M6" s="220"/>
      <c r="N6" s="136" t="s">
        <v>65</v>
      </c>
      <c r="O6" s="136"/>
      <c r="P6" s="136" t="s">
        <v>7</v>
      </c>
      <c r="Q6" s="134"/>
      <c r="R6" s="219" t="s">
        <v>8</v>
      </c>
      <c r="S6" s="220"/>
      <c r="T6" s="219" t="s">
        <v>9</v>
      </c>
      <c r="U6" s="220"/>
    </row>
    <row r="7" spans="1:21" ht="15.75">
      <c r="A7" s="118" t="s">
        <v>3</v>
      </c>
      <c r="B7" s="119">
        <v>46113</v>
      </c>
      <c r="C7" s="118" t="s">
        <v>4</v>
      </c>
      <c r="D7" s="120">
        <v>46142</v>
      </c>
      <c r="E7" s="121"/>
      <c r="F7" s="7"/>
      <c r="L7" s="221" t="s">
        <v>67</v>
      </c>
      <c r="M7" s="222"/>
      <c r="N7" s="137">
        <v>46115</v>
      </c>
      <c r="O7" s="135"/>
      <c r="P7" s="135" t="s">
        <v>66</v>
      </c>
      <c r="Q7" s="133"/>
      <c r="R7" s="225"/>
      <c r="S7" s="226"/>
      <c r="T7" s="221">
        <v>1200</v>
      </c>
      <c r="U7" s="222"/>
    </row>
    <row r="8" spans="1:21" ht="15.75">
      <c r="A8" s="8"/>
      <c r="B8" s="8"/>
      <c r="C8" s="8"/>
      <c r="D8" s="8"/>
      <c r="E8" s="7"/>
      <c r="F8" s="7"/>
      <c r="L8" s="221" t="s">
        <v>67</v>
      </c>
      <c r="M8" s="222"/>
      <c r="N8" s="137">
        <v>46116</v>
      </c>
      <c r="O8" s="135"/>
      <c r="P8" s="135" t="s">
        <v>74</v>
      </c>
      <c r="Q8" s="133"/>
      <c r="R8" s="225"/>
      <c r="S8" s="226"/>
      <c r="T8" s="221">
        <v>250</v>
      </c>
      <c r="U8" s="222"/>
    </row>
    <row r="9" spans="1:21">
      <c r="A9" s="7"/>
      <c r="B9" s="7"/>
      <c r="C9" s="7"/>
      <c r="D9" s="7"/>
      <c r="E9" s="7"/>
      <c r="F9" s="7"/>
      <c r="L9" s="221" t="s">
        <v>67</v>
      </c>
      <c r="M9" s="222"/>
      <c r="N9" s="137">
        <v>46120</v>
      </c>
      <c r="O9" s="221" t="s">
        <v>91</v>
      </c>
      <c r="P9" s="231"/>
      <c r="Q9" s="231"/>
      <c r="R9" s="225"/>
      <c r="S9" s="226"/>
      <c r="T9" s="221">
        <f>4000+950+450</f>
        <v>5400</v>
      </c>
      <c r="U9" s="222"/>
    </row>
    <row r="10" spans="1:21" ht="18.75">
      <c r="A10" s="114" t="s">
        <v>5</v>
      </c>
      <c r="B10" s="114" t="s">
        <v>6</v>
      </c>
      <c r="C10" s="114" t="s">
        <v>7</v>
      </c>
      <c r="D10" s="114" t="s">
        <v>8</v>
      </c>
      <c r="E10" s="114" t="s">
        <v>9</v>
      </c>
      <c r="F10" s="9"/>
      <c r="L10" s="221" t="s">
        <v>67</v>
      </c>
      <c r="M10" s="222"/>
      <c r="N10" s="137">
        <v>46121</v>
      </c>
      <c r="O10" s="221" t="s">
        <v>46</v>
      </c>
      <c r="P10" s="231"/>
      <c r="Q10" s="231"/>
      <c r="R10" s="225"/>
      <c r="S10" s="226"/>
      <c r="T10" s="221">
        <v>300</v>
      </c>
      <c r="U10" s="222"/>
    </row>
    <row r="11" spans="1:21" ht="18.75">
      <c r="A11" s="110" t="s">
        <v>62</v>
      </c>
      <c r="B11" s="111">
        <v>46113</v>
      </c>
      <c r="C11" s="112" t="s">
        <v>168</v>
      </c>
      <c r="D11" s="113"/>
      <c r="E11" s="113">
        <v>18</v>
      </c>
      <c r="F11" s="9"/>
      <c r="L11" s="221" t="s">
        <v>67</v>
      </c>
      <c r="M11" s="222"/>
      <c r="N11" s="137">
        <v>46132</v>
      </c>
      <c r="O11" s="221" t="s">
        <v>231</v>
      </c>
      <c r="P11" s="231"/>
      <c r="Q11" s="231"/>
      <c r="R11" s="225"/>
      <c r="S11" s="226"/>
      <c r="T11" s="221">
        <v>1000</v>
      </c>
      <c r="U11" s="222"/>
    </row>
    <row r="12" spans="1:21" ht="18.75">
      <c r="A12" s="110" t="s">
        <v>62</v>
      </c>
      <c r="B12" s="111">
        <v>46113</v>
      </c>
      <c r="C12" s="112" t="s">
        <v>167</v>
      </c>
      <c r="D12" s="113"/>
      <c r="E12" s="113">
        <v>200</v>
      </c>
      <c r="F12" s="9"/>
      <c r="L12" s="221" t="s">
        <v>67</v>
      </c>
      <c r="M12" s="222"/>
      <c r="N12" s="137">
        <v>46135</v>
      </c>
      <c r="O12" s="221" t="s">
        <v>227</v>
      </c>
      <c r="P12" s="231"/>
      <c r="Q12" s="231"/>
      <c r="R12" s="225"/>
      <c r="S12" s="226"/>
      <c r="T12" s="221">
        <v>500</v>
      </c>
      <c r="U12" s="222"/>
    </row>
    <row r="13" spans="1:21" ht="18.75">
      <c r="A13" s="110" t="s">
        <v>62</v>
      </c>
      <c r="B13" s="111">
        <v>46113</v>
      </c>
      <c r="C13" s="112" t="s">
        <v>166</v>
      </c>
      <c r="D13" s="113"/>
      <c r="E13" s="113">
        <v>15</v>
      </c>
      <c r="F13" s="9"/>
      <c r="L13" s="221"/>
      <c r="M13" s="222"/>
      <c r="N13" s="137"/>
      <c r="O13" s="221"/>
      <c r="P13" s="231"/>
      <c r="Q13" s="231"/>
      <c r="R13" s="225"/>
      <c r="S13" s="226"/>
      <c r="T13" s="221"/>
      <c r="U13" s="222"/>
    </row>
    <row r="14" spans="1:21" ht="15.75">
      <c r="A14" s="110" t="s">
        <v>62</v>
      </c>
      <c r="B14" s="111">
        <v>46114</v>
      </c>
      <c r="C14" s="112" t="s">
        <v>60</v>
      </c>
      <c r="D14" s="113"/>
      <c r="E14" s="113">
        <v>200</v>
      </c>
      <c r="F14" s="12"/>
      <c r="L14" s="221"/>
      <c r="M14" s="222"/>
      <c r="N14" s="135"/>
      <c r="O14" s="221"/>
      <c r="P14" s="231"/>
      <c r="Q14" s="231"/>
      <c r="R14" s="225"/>
      <c r="S14" s="226"/>
      <c r="T14" s="221"/>
      <c r="U14" s="222"/>
    </row>
    <row r="15" spans="1:21" ht="15.75">
      <c r="A15" s="110" t="s">
        <v>62</v>
      </c>
      <c r="B15" s="111">
        <v>46114</v>
      </c>
      <c r="C15" s="112" t="s">
        <v>165</v>
      </c>
      <c r="D15" s="113"/>
      <c r="E15" s="113">
        <v>50</v>
      </c>
      <c r="F15" s="12"/>
      <c r="L15" s="221"/>
      <c r="M15" s="222"/>
      <c r="N15" s="135"/>
      <c r="O15" s="221"/>
      <c r="P15" s="231"/>
      <c r="Q15" s="231"/>
      <c r="R15" s="225" t="s">
        <v>95</v>
      </c>
      <c r="S15" s="226"/>
      <c r="T15" s="223">
        <f>SUM(T7:U13)</f>
        <v>8650</v>
      </c>
      <c r="U15" s="224"/>
    </row>
    <row r="16" spans="1:21" ht="15.75">
      <c r="A16" s="110" t="s">
        <v>62</v>
      </c>
      <c r="B16" s="111">
        <v>46114</v>
      </c>
      <c r="C16" s="112" t="s">
        <v>163</v>
      </c>
      <c r="D16" s="113"/>
      <c r="E16" s="113">
        <v>100</v>
      </c>
      <c r="F16" s="12"/>
    </row>
    <row r="17" spans="1:20" ht="15.75">
      <c r="A17" s="110" t="s">
        <v>62</v>
      </c>
      <c r="B17" s="111">
        <v>46115</v>
      </c>
      <c r="C17" s="112" t="s">
        <v>61</v>
      </c>
      <c r="D17" s="113"/>
      <c r="E17" s="113">
        <v>69</v>
      </c>
      <c r="F17" s="12"/>
    </row>
    <row r="18" spans="1:20" ht="15.75">
      <c r="A18" s="110" t="s">
        <v>62</v>
      </c>
      <c r="B18" s="111">
        <v>46116</v>
      </c>
      <c r="C18" s="112" t="s">
        <v>63</v>
      </c>
      <c r="D18" s="113"/>
      <c r="E18" s="113">
        <v>55.5</v>
      </c>
      <c r="F18" s="12"/>
      <c r="J18" s="237" t="s">
        <v>109</v>
      </c>
      <c r="K18" s="237"/>
      <c r="L18" s="237"/>
      <c r="M18" s="237"/>
      <c r="N18" s="237"/>
      <c r="O18" s="237"/>
      <c r="P18" s="237"/>
      <c r="Q18" s="237"/>
      <c r="R18" s="237"/>
      <c r="S18" s="237"/>
    </row>
    <row r="19" spans="1:20" ht="15.75">
      <c r="A19" s="110" t="s">
        <v>62</v>
      </c>
      <c r="B19" s="111">
        <v>46118</v>
      </c>
      <c r="C19" s="112" t="s">
        <v>179</v>
      </c>
      <c r="D19" s="113"/>
      <c r="E19" s="113">
        <v>20</v>
      </c>
      <c r="F19" s="12"/>
      <c r="J19" s="237"/>
      <c r="K19" s="237"/>
      <c r="L19" s="237"/>
      <c r="M19" s="237"/>
      <c r="N19" s="237"/>
      <c r="O19" s="237"/>
      <c r="P19" s="237"/>
      <c r="Q19" s="237"/>
      <c r="R19" s="237"/>
      <c r="S19" s="237"/>
    </row>
    <row r="20" spans="1:20" ht="15.75">
      <c r="A20" s="110" t="s">
        <v>62</v>
      </c>
      <c r="B20" s="111">
        <v>46118</v>
      </c>
      <c r="C20" s="112" t="s">
        <v>79</v>
      </c>
      <c r="D20" s="113"/>
      <c r="E20" s="113">
        <v>50</v>
      </c>
      <c r="F20" s="12"/>
    </row>
    <row r="21" spans="1:20" ht="15.75">
      <c r="A21" s="110" t="s">
        <v>62</v>
      </c>
      <c r="B21" s="111">
        <v>46119</v>
      </c>
      <c r="C21" s="112" t="s">
        <v>177</v>
      </c>
      <c r="D21" s="113"/>
      <c r="E21" s="113">
        <v>25</v>
      </c>
      <c r="F21" s="12"/>
      <c r="I21" s="234" t="s">
        <v>6</v>
      </c>
      <c r="J21" s="235"/>
      <c r="K21" s="138" t="s">
        <v>117</v>
      </c>
      <c r="L21" s="234" t="s">
        <v>94</v>
      </c>
      <c r="M21" s="235"/>
      <c r="N21" s="234" t="s">
        <v>92</v>
      </c>
      <c r="O21" s="236"/>
      <c r="P21" s="236"/>
      <c r="Q21" s="236"/>
      <c r="R21" s="235"/>
      <c r="S21" s="234" t="s">
        <v>93</v>
      </c>
      <c r="T21" s="235"/>
    </row>
    <row r="22" spans="1:20" ht="15.75">
      <c r="A22" s="110" t="s">
        <v>62</v>
      </c>
      <c r="B22" s="111">
        <v>46119</v>
      </c>
      <c r="C22" s="112" t="s">
        <v>171</v>
      </c>
      <c r="D22" s="113"/>
      <c r="E22" s="113">
        <v>20</v>
      </c>
      <c r="F22" s="12"/>
      <c r="I22" s="216">
        <v>46115</v>
      </c>
      <c r="J22" s="212"/>
      <c r="K22" s="101" t="s">
        <v>97</v>
      </c>
      <c r="L22" s="217"/>
      <c r="M22" s="218"/>
      <c r="N22" s="211" t="s">
        <v>99</v>
      </c>
      <c r="O22" s="215"/>
      <c r="P22" s="215"/>
      <c r="Q22" s="215"/>
      <c r="R22" s="212"/>
      <c r="S22" s="211" t="s">
        <v>96</v>
      </c>
      <c r="T22" s="212"/>
    </row>
    <row r="23" spans="1:20" ht="15.75">
      <c r="A23" s="110" t="s">
        <v>62</v>
      </c>
      <c r="B23" s="111">
        <v>46119</v>
      </c>
      <c r="C23" s="112" t="s">
        <v>178</v>
      </c>
      <c r="D23" s="113"/>
      <c r="E23" s="113">
        <v>30</v>
      </c>
      <c r="F23" s="12"/>
      <c r="I23" s="216">
        <v>46115</v>
      </c>
      <c r="J23" s="212"/>
      <c r="K23" s="101" t="s">
        <v>98</v>
      </c>
      <c r="L23" s="217"/>
      <c r="M23" s="218"/>
      <c r="N23" s="211" t="s">
        <v>100</v>
      </c>
      <c r="O23" s="215"/>
      <c r="P23" s="215"/>
      <c r="Q23" s="215"/>
      <c r="R23" s="212"/>
      <c r="S23" s="211" t="s">
        <v>96</v>
      </c>
      <c r="T23" s="212"/>
    </row>
    <row r="24" spans="1:20" ht="15.75">
      <c r="A24" s="110" t="s">
        <v>62</v>
      </c>
      <c r="B24" s="111">
        <v>46120</v>
      </c>
      <c r="C24" s="112" t="s">
        <v>176</v>
      </c>
      <c r="D24" s="113"/>
      <c r="E24" s="113">
        <v>50</v>
      </c>
      <c r="F24" s="12"/>
      <c r="I24" s="216">
        <v>46112</v>
      </c>
      <c r="J24" s="212"/>
      <c r="K24" s="101" t="s">
        <v>102</v>
      </c>
      <c r="L24" s="217"/>
      <c r="M24" s="218"/>
      <c r="N24" s="211"/>
      <c r="O24" s="215"/>
      <c r="P24" s="215"/>
      <c r="Q24" s="215"/>
      <c r="R24" s="212"/>
      <c r="S24" s="211" t="s">
        <v>101</v>
      </c>
      <c r="T24" s="212"/>
    </row>
    <row r="25" spans="1:20" ht="15.75">
      <c r="A25" s="110" t="s">
        <v>62</v>
      </c>
      <c r="B25" s="111">
        <v>46120</v>
      </c>
      <c r="C25" s="112" t="s">
        <v>171</v>
      </c>
      <c r="D25" s="113"/>
      <c r="E25" s="113">
        <v>203</v>
      </c>
      <c r="F25" s="12"/>
      <c r="I25" s="216">
        <v>46112</v>
      </c>
      <c r="J25" s="212"/>
      <c r="K25" s="101" t="s">
        <v>103</v>
      </c>
      <c r="L25" s="217"/>
      <c r="M25" s="218"/>
      <c r="N25" s="211" t="s">
        <v>104</v>
      </c>
      <c r="O25" s="215"/>
      <c r="P25" s="215"/>
      <c r="Q25" s="215"/>
      <c r="R25" s="212"/>
      <c r="S25" s="211" t="s">
        <v>101</v>
      </c>
      <c r="T25" s="212"/>
    </row>
    <row r="26" spans="1:20" ht="15.75">
      <c r="A26" s="110" t="s">
        <v>62</v>
      </c>
      <c r="B26" s="111">
        <v>46120</v>
      </c>
      <c r="C26" s="112" t="s">
        <v>175</v>
      </c>
      <c r="D26" s="113"/>
      <c r="E26" s="113">
        <v>80</v>
      </c>
      <c r="F26" s="12"/>
      <c r="I26" s="216">
        <v>46113</v>
      </c>
      <c r="J26" s="212"/>
      <c r="K26" s="101" t="s">
        <v>105</v>
      </c>
      <c r="L26" s="217"/>
      <c r="M26" s="218"/>
      <c r="N26" s="211" t="s">
        <v>106</v>
      </c>
      <c r="O26" s="215"/>
      <c r="P26" s="215"/>
      <c r="Q26" s="215"/>
      <c r="R26" s="212"/>
      <c r="S26" s="211" t="s">
        <v>101</v>
      </c>
      <c r="T26" s="212"/>
    </row>
    <row r="27" spans="1:20" ht="15.75">
      <c r="A27" s="110" t="s">
        <v>62</v>
      </c>
      <c r="B27" s="111">
        <v>46120</v>
      </c>
      <c r="C27" s="112" t="s">
        <v>168</v>
      </c>
      <c r="D27" s="113"/>
      <c r="E27" s="113">
        <v>16</v>
      </c>
      <c r="F27" s="12"/>
      <c r="I27" s="216">
        <v>46116</v>
      </c>
      <c r="J27" s="212"/>
      <c r="K27" s="101" t="s">
        <v>107</v>
      </c>
      <c r="L27" s="217"/>
      <c r="M27" s="218"/>
      <c r="N27" s="211"/>
      <c r="O27" s="215"/>
      <c r="P27" s="215"/>
      <c r="Q27" s="215"/>
      <c r="R27" s="212"/>
      <c r="S27" s="211" t="s">
        <v>101</v>
      </c>
      <c r="T27" s="212"/>
    </row>
    <row r="28" spans="1:20" ht="15.75">
      <c r="A28" s="110" t="s">
        <v>62</v>
      </c>
      <c r="B28" s="111">
        <v>46120</v>
      </c>
      <c r="C28" s="112" t="s">
        <v>174</v>
      </c>
      <c r="D28" s="113"/>
      <c r="E28" s="113">
        <v>100</v>
      </c>
      <c r="F28" s="12"/>
      <c r="I28" s="216">
        <v>46116</v>
      </c>
      <c r="J28" s="212"/>
      <c r="K28" s="101" t="s">
        <v>108</v>
      </c>
      <c r="L28" s="217"/>
      <c r="M28" s="218"/>
      <c r="N28" s="211" t="s">
        <v>116</v>
      </c>
      <c r="O28" s="215"/>
      <c r="P28" s="215"/>
      <c r="Q28" s="215"/>
      <c r="R28" s="212"/>
      <c r="S28" s="211" t="s">
        <v>101</v>
      </c>
      <c r="T28" s="212"/>
    </row>
    <row r="29" spans="1:20" ht="15.75">
      <c r="A29" s="110" t="s">
        <v>62</v>
      </c>
      <c r="B29" s="111">
        <v>46120</v>
      </c>
      <c r="C29" s="112" t="s">
        <v>173</v>
      </c>
      <c r="D29" s="113"/>
      <c r="E29" s="113">
        <v>200</v>
      </c>
      <c r="F29" s="12"/>
      <c r="I29" s="216">
        <v>46119</v>
      </c>
      <c r="J29" s="212"/>
      <c r="K29" s="101" t="s">
        <v>110</v>
      </c>
      <c r="L29" s="217"/>
      <c r="M29" s="218"/>
      <c r="N29" s="211" t="s">
        <v>104</v>
      </c>
      <c r="O29" s="215"/>
      <c r="P29" s="215"/>
      <c r="Q29" s="215"/>
      <c r="R29" s="212"/>
      <c r="S29" s="211" t="s">
        <v>101</v>
      </c>
      <c r="T29" s="212"/>
    </row>
    <row r="30" spans="1:20" ht="15.75">
      <c r="A30" s="110" t="s">
        <v>62</v>
      </c>
      <c r="B30" s="111">
        <v>46121</v>
      </c>
      <c r="C30" s="112" t="s">
        <v>163</v>
      </c>
      <c r="D30" s="113"/>
      <c r="E30" s="113">
        <v>200</v>
      </c>
      <c r="F30" s="12"/>
      <c r="I30" s="216">
        <v>46119</v>
      </c>
      <c r="J30" s="212"/>
      <c r="K30" s="101" t="s">
        <v>113</v>
      </c>
      <c r="L30" s="217"/>
      <c r="M30" s="218"/>
      <c r="N30" s="211" t="s">
        <v>115</v>
      </c>
      <c r="O30" s="215"/>
      <c r="P30" s="215"/>
      <c r="Q30" s="215"/>
      <c r="R30" s="212"/>
      <c r="S30" s="211" t="s">
        <v>101</v>
      </c>
      <c r="T30" s="212"/>
    </row>
    <row r="31" spans="1:20" ht="15.75">
      <c r="A31" s="110" t="s">
        <v>62</v>
      </c>
      <c r="B31" s="111">
        <v>46121</v>
      </c>
      <c r="C31" s="112" t="s">
        <v>119</v>
      </c>
      <c r="D31" s="113"/>
      <c r="E31" s="113">
        <v>33</v>
      </c>
      <c r="F31" s="12"/>
      <c r="I31" s="216">
        <v>46120</v>
      </c>
      <c r="J31" s="212"/>
      <c r="K31" s="101" t="s">
        <v>111</v>
      </c>
      <c r="L31" s="217"/>
      <c r="M31" s="218"/>
      <c r="N31" s="211" t="s">
        <v>112</v>
      </c>
      <c r="O31" s="215"/>
      <c r="P31" s="215"/>
      <c r="Q31" s="215"/>
      <c r="R31" s="212"/>
      <c r="S31" s="211" t="s">
        <v>101</v>
      </c>
      <c r="T31" s="212"/>
    </row>
    <row r="32" spans="1:20" ht="15.75">
      <c r="A32" s="110" t="s">
        <v>62</v>
      </c>
      <c r="B32" s="111">
        <v>46122</v>
      </c>
      <c r="C32" s="112" t="s">
        <v>171</v>
      </c>
      <c r="D32" s="113"/>
      <c r="E32" s="113">
        <v>50</v>
      </c>
      <c r="F32" s="12"/>
      <c r="I32" s="216">
        <v>46122</v>
      </c>
      <c r="J32" s="212"/>
      <c r="K32" s="101" t="s">
        <v>118</v>
      </c>
      <c r="L32" s="211" t="s">
        <v>120</v>
      </c>
      <c r="M32" s="212"/>
      <c r="N32" s="211" t="s">
        <v>121</v>
      </c>
      <c r="O32" s="215"/>
      <c r="P32" s="215"/>
      <c r="Q32" s="215"/>
      <c r="R32" s="212"/>
      <c r="S32" s="211" t="s">
        <v>101</v>
      </c>
      <c r="T32" s="212"/>
    </row>
    <row r="33" spans="1:20" ht="15.75">
      <c r="A33" s="110" t="s">
        <v>62</v>
      </c>
      <c r="B33" s="111">
        <v>46122</v>
      </c>
      <c r="C33" s="112" t="s">
        <v>172</v>
      </c>
      <c r="D33" s="113"/>
      <c r="E33" s="113">
        <v>120</v>
      </c>
      <c r="F33" s="12"/>
      <c r="I33" s="216">
        <v>46127</v>
      </c>
      <c r="J33" s="212"/>
      <c r="K33" s="101" t="s">
        <v>149</v>
      </c>
      <c r="L33" s="211"/>
      <c r="M33" s="212"/>
      <c r="N33" s="211" t="s">
        <v>157</v>
      </c>
      <c r="O33" s="215"/>
      <c r="P33" s="215"/>
      <c r="Q33" s="215"/>
      <c r="R33" s="212"/>
      <c r="S33" s="213" t="s">
        <v>49</v>
      </c>
      <c r="T33" s="214"/>
    </row>
    <row r="34" spans="1:20" ht="15.75">
      <c r="A34" s="110" t="s">
        <v>62</v>
      </c>
      <c r="B34" s="111">
        <v>46122</v>
      </c>
      <c r="C34" s="112" t="s">
        <v>177</v>
      </c>
      <c r="D34" s="113"/>
      <c r="E34" s="113">
        <v>10</v>
      </c>
      <c r="F34" s="12"/>
      <c r="I34" s="216">
        <v>46128</v>
      </c>
      <c r="J34" s="212"/>
      <c r="K34" s="101" t="s">
        <v>153</v>
      </c>
      <c r="L34" s="211" t="s">
        <v>158</v>
      </c>
      <c r="M34" s="212"/>
      <c r="N34" s="211" t="s">
        <v>159</v>
      </c>
      <c r="O34" s="215"/>
      <c r="P34" s="215"/>
      <c r="Q34" s="215"/>
      <c r="R34" s="212"/>
      <c r="S34" s="213" t="s">
        <v>49</v>
      </c>
      <c r="T34" s="214"/>
    </row>
    <row r="35" spans="1:20" ht="15.75">
      <c r="A35" s="110" t="s">
        <v>62</v>
      </c>
      <c r="B35" s="111">
        <v>46123</v>
      </c>
      <c r="C35" s="112" t="s">
        <v>167</v>
      </c>
      <c r="D35" s="113"/>
      <c r="E35" s="113">
        <v>100</v>
      </c>
      <c r="F35" s="12"/>
      <c r="I35" s="216">
        <v>46130</v>
      </c>
      <c r="J35" s="212"/>
      <c r="K35" s="101" t="s">
        <v>186</v>
      </c>
      <c r="L35" s="211" t="s">
        <v>187</v>
      </c>
      <c r="M35" s="212"/>
      <c r="N35" s="211" t="s">
        <v>194</v>
      </c>
      <c r="O35" s="215"/>
      <c r="P35" s="215"/>
      <c r="Q35" s="215"/>
      <c r="R35" s="212"/>
      <c r="S35" s="213" t="s">
        <v>49</v>
      </c>
      <c r="T35" s="214"/>
    </row>
    <row r="36" spans="1:20" ht="15.75">
      <c r="A36" s="110" t="s">
        <v>62</v>
      </c>
      <c r="B36" s="111">
        <v>46127</v>
      </c>
      <c r="C36" s="112" t="s">
        <v>164</v>
      </c>
      <c r="D36" s="113"/>
      <c r="E36" s="113">
        <v>200</v>
      </c>
      <c r="F36" s="12"/>
      <c r="I36" s="216">
        <v>46132</v>
      </c>
      <c r="J36" s="212"/>
      <c r="K36" s="101" t="s">
        <v>184</v>
      </c>
      <c r="L36" s="211" t="s">
        <v>183</v>
      </c>
      <c r="M36" s="212"/>
      <c r="N36" s="211" t="s">
        <v>195</v>
      </c>
      <c r="O36" s="215"/>
      <c r="P36" s="215"/>
      <c r="Q36" s="215"/>
      <c r="R36" s="212"/>
      <c r="S36" s="213" t="s">
        <v>49</v>
      </c>
      <c r="T36" s="214"/>
    </row>
    <row r="37" spans="1:20" ht="15.75">
      <c r="A37" s="110" t="s">
        <v>62</v>
      </c>
      <c r="B37" s="111">
        <v>46127</v>
      </c>
      <c r="C37" s="112" t="s">
        <v>169</v>
      </c>
      <c r="D37" s="113"/>
      <c r="E37" s="113">
        <v>100</v>
      </c>
      <c r="F37" s="12"/>
      <c r="I37" s="216">
        <v>46133</v>
      </c>
      <c r="J37" s="212"/>
      <c r="K37" s="101" t="s">
        <v>206</v>
      </c>
      <c r="L37" s="217"/>
      <c r="M37" s="218"/>
      <c r="N37" s="211" t="s">
        <v>207</v>
      </c>
      <c r="O37" s="215"/>
      <c r="P37" s="215"/>
      <c r="Q37" s="215"/>
      <c r="R37" s="212"/>
      <c r="S37" s="213" t="s">
        <v>49</v>
      </c>
      <c r="T37" s="214"/>
    </row>
    <row r="38" spans="1:20" ht="15.75">
      <c r="A38" s="110" t="s">
        <v>62</v>
      </c>
      <c r="B38" s="111">
        <v>46127</v>
      </c>
      <c r="C38" s="112" t="s">
        <v>162</v>
      </c>
      <c r="D38" s="113"/>
      <c r="E38" s="113">
        <v>16</v>
      </c>
      <c r="F38" s="12"/>
      <c r="I38" s="216">
        <v>46135</v>
      </c>
      <c r="J38" s="212"/>
      <c r="K38" s="101" t="s">
        <v>208</v>
      </c>
      <c r="L38" s="211" t="s">
        <v>209</v>
      </c>
      <c r="M38" s="212"/>
      <c r="N38" s="211"/>
      <c r="O38" s="215"/>
      <c r="P38" s="215"/>
      <c r="Q38" s="215"/>
      <c r="R38" s="212"/>
      <c r="S38" s="213" t="s">
        <v>49</v>
      </c>
      <c r="T38" s="214"/>
    </row>
    <row r="39" spans="1:20" ht="15.75">
      <c r="A39" s="110" t="s">
        <v>62</v>
      </c>
      <c r="B39" s="111">
        <v>46127</v>
      </c>
      <c r="C39" s="112" t="s">
        <v>170</v>
      </c>
      <c r="D39" s="113"/>
      <c r="E39" s="113">
        <v>50</v>
      </c>
      <c r="F39" s="12"/>
      <c r="I39" s="216">
        <v>46136</v>
      </c>
      <c r="J39" s="212"/>
      <c r="K39" s="101" t="s">
        <v>118</v>
      </c>
      <c r="L39" s="211" t="s">
        <v>120</v>
      </c>
      <c r="M39" s="212"/>
      <c r="N39" s="211"/>
      <c r="O39" s="215"/>
      <c r="P39" s="215"/>
      <c r="Q39" s="215"/>
      <c r="R39" s="212"/>
      <c r="S39" s="211"/>
      <c r="T39" s="212"/>
    </row>
    <row r="40" spans="1:20" ht="15.75">
      <c r="A40" s="110" t="s">
        <v>62</v>
      </c>
      <c r="B40" s="111">
        <v>46128</v>
      </c>
      <c r="C40" s="112" t="s">
        <v>163</v>
      </c>
      <c r="D40" s="113"/>
      <c r="E40" s="113">
        <v>200</v>
      </c>
      <c r="F40" s="12"/>
      <c r="I40" s="216">
        <v>46136</v>
      </c>
      <c r="J40" s="212"/>
      <c r="K40" s="101" t="s">
        <v>180</v>
      </c>
      <c r="L40" s="211" t="s">
        <v>210</v>
      </c>
      <c r="M40" s="212"/>
      <c r="N40" s="211" t="s">
        <v>242</v>
      </c>
      <c r="O40" s="215"/>
      <c r="P40" s="215"/>
      <c r="Q40" s="215"/>
      <c r="R40" s="212"/>
      <c r="S40" s="211"/>
      <c r="T40" s="212"/>
    </row>
    <row r="41" spans="1:20" ht="15.75">
      <c r="A41" s="110" t="s">
        <v>62</v>
      </c>
      <c r="B41" s="111">
        <v>46128</v>
      </c>
      <c r="C41" s="112" t="s">
        <v>164</v>
      </c>
      <c r="D41" s="113"/>
      <c r="E41" s="113">
        <v>300</v>
      </c>
      <c r="F41" s="12"/>
      <c r="I41" s="216">
        <v>46140</v>
      </c>
      <c r="J41" s="212"/>
      <c r="K41" s="140" t="s">
        <v>140</v>
      </c>
      <c r="L41" s="211"/>
      <c r="M41" s="212"/>
      <c r="N41" s="211" t="s">
        <v>262</v>
      </c>
      <c r="O41" s="215"/>
      <c r="P41" s="215"/>
      <c r="Q41" s="215"/>
      <c r="R41" s="212"/>
      <c r="S41" s="211"/>
      <c r="T41" s="212"/>
    </row>
    <row r="42" spans="1:20" ht="15.75">
      <c r="A42" s="110" t="s">
        <v>62</v>
      </c>
      <c r="B42" s="111">
        <v>46129</v>
      </c>
      <c r="C42" s="112" t="s">
        <v>188</v>
      </c>
      <c r="D42" s="113"/>
      <c r="E42" s="113">
        <v>200</v>
      </c>
      <c r="F42" s="12"/>
      <c r="I42" s="211"/>
      <c r="J42" s="212"/>
      <c r="K42" s="140"/>
      <c r="L42" s="211"/>
      <c r="M42" s="212"/>
      <c r="N42" s="211"/>
      <c r="O42" s="215"/>
      <c r="P42" s="215"/>
      <c r="Q42" s="215"/>
      <c r="R42" s="212"/>
      <c r="S42" s="211"/>
      <c r="T42" s="212"/>
    </row>
    <row r="43" spans="1:20" ht="15.75">
      <c r="A43" s="110" t="s">
        <v>62</v>
      </c>
      <c r="B43" s="111">
        <v>46129</v>
      </c>
      <c r="C43" s="112" t="s">
        <v>165</v>
      </c>
      <c r="D43" s="113"/>
      <c r="E43" s="113">
        <f>50-35</f>
        <v>15</v>
      </c>
      <c r="F43" s="12"/>
      <c r="I43" s="211"/>
      <c r="J43" s="212"/>
      <c r="K43" s="140"/>
      <c r="L43" s="211"/>
      <c r="M43" s="212"/>
      <c r="N43" s="211"/>
      <c r="O43" s="215"/>
      <c r="P43" s="215"/>
      <c r="Q43" s="215"/>
      <c r="R43" s="212"/>
      <c r="S43" s="211"/>
      <c r="T43" s="212"/>
    </row>
    <row r="44" spans="1:20" ht="15.75">
      <c r="A44" s="110" t="s">
        <v>62</v>
      </c>
      <c r="B44" s="111">
        <v>46130</v>
      </c>
      <c r="C44" s="112" t="s">
        <v>192</v>
      </c>
      <c r="D44" s="113"/>
      <c r="E44" s="113">
        <v>300</v>
      </c>
      <c r="F44" s="12"/>
      <c r="I44" s="211"/>
      <c r="J44" s="212"/>
      <c r="K44" s="140"/>
      <c r="L44" s="211"/>
      <c r="M44" s="212"/>
      <c r="N44" s="211"/>
      <c r="O44" s="215"/>
      <c r="P44" s="215"/>
      <c r="Q44" s="215"/>
      <c r="R44" s="212"/>
      <c r="S44" s="211"/>
      <c r="T44" s="212"/>
    </row>
    <row r="45" spans="1:20" ht="15.75">
      <c r="A45" s="110" t="s">
        <v>62</v>
      </c>
      <c r="B45" s="111">
        <v>46133</v>
      </c>
      <c r="C45" s="112" t="s">
        <v>196</v>
      </c>
      <c r="D45" s="113"/>
      <c r="E45" s="113">
        <v>850</v>
      </c>
      <c r="F45" s="12"/>
      <c r="I45" s="211"/>
      <c r="J45" s="212"/>
      <c r="K45" s="140"/>
      <c r="L45" s="211"/>
      <c r="M45" s="212"/>
      <c r="N45" s="211"/>
      <c r="O45" s="215"/>
      <c r="P45" s="215"/>
      <c r="Q45" s="215"/>
      <c r="R45" s="212"/>
      <c r="S45" s="211"/>
      <c r="T45" s="212"/>
    </row>
    <row r="46" spans="1:20" ht="15.75">
      <c r="A46" s="110" t="s">
        <v>62</v>
      </c>
      <c r="B46" s="111">
        <v>46133</v>
      </c>
      <c r="C46" s="112" t="s">
        <v>168</v>
      </c>
      <c r="D46" s="113"/>
      <c r="E46" s="113">
        <v>16</v>
      </c>
      <c r="F46" s="12"/>
      <c r="I46" s="211"/>
      <c r="J46" s="212"/>
      <c r="K46" s="140"/>
      <c r="L46" s="211"/>
      <c r="M46" s="212"/>
      <c r="N46" s="211"/>
      <c r="O46" s="215"/>
      <c r="P46" s="215"/>
      <c r="Q46" s="215"/>
      <c r="R46" s="212"/>
      <c r="S46" s="211"/>
      <c r="T46" s="212"/>
    </row>
    <row r="47" spans="1:20" ht="15.75">
      <c r="A47" s="110" t="s">
        <v>62</v>
      </c>
      <c r="B47" s="111">
        <v>46133</v>
      </c>
      <c r="C47" s="175" t="s">
        <v>197</v>
      </c>
      <c r="D47" s="176"/>
      <c r="E47" s="176">
        <v>100</v>
      </c>
      <c r="F47" s="12"/>
      <c r="I47" s="211"/>
      <c r="J47" s="212"/>
      <c r="K47" s="140"/>
      <c r="L47" s="211"/>
      <c r="M47" s="212"/>
      <c r="N47" s="211"/>
      <c r="O47" s="215"/>
      <c r="P47" s="215"/>
      <c r="Q47" s="215"/>
      <c r="R47" s="212"/>
      <c r="S47" s="211"/>
      <c r="T47" s="212"/>
    </row>
    <row r="48" spans="1:20" ht="15.75">
      <c r="A48" s="110" t="s">
        <v>62</v>
      </c>
      <c r="B48" s="111">
        <v>46134</v>
      </c>
      <c r="C48" s="112" t="s">
        <v>202</v>
      </c>
      <c r="D48" s="113"/>
      <c r="E48" s="113">
        <v>200</v>
      </c>
      <c r="F48" s="12"/>
      <c r="I48" s="211"/>
      <c r="J48" s="212"/>
      <c r="K48" s="140"/>
      <c r="L48" s="211"/>
      <c r="M48" s="212"/>
      <c r="N48" s="211"/>
      <c r="O48" s="215"/>
      <c r="P48" s="215"/>
      <c r="Q48" s="215"/>
      <c r="R48" s="212"/>
      <c r="S48" s="211"/>
      <c r="T48" s="212"/>
    </row>
    <row r="49" spans="1:20" ht="15.75">
      <c r="A49" s="110" t="s">
        <v>62</v>
      </c>
      <c r="B49" s="111">
        <v>46134</v>
      </c>
      <c r="C49" s="112" t="s">
        <v>177</v>
      </c>
      <c r="D49" s="113"/>
      <c r="E49" s="113">
        <v>25</v>
      </c>
      <c r="F49" s="12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</row>
    <row r="50" spans="1:20" ht="15.75">
      <c r="A50" s="110" t="s">
        <v>62</v>
      </c>
      <c r="B50" s="111">
        <v>46134</v>
      </c>
      <c r="C50" s="112" t="s">
        <v>203</v>
      </c>
      <c r="D50" s="113"/>
      <c r="E50" s="113">
        <v>100</v>
      </c>
      <c r="F50" s="12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</row>
    <row r="51" spans="1:20" ht="15.75">
      <c r="A51" s="110" t="s">
        <v>62</v>
      </c>
      <c r="B51" s="111">
        <v>46134</v>
      </c>
      <c r="C51" s="112" t="s">
        <v>67</v>
      </c>
      <c r="D51" s="113"/>
      <c r="E51" s="113">
        <v>10</v>
      </c>
      <c r="F51" s="12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</row>
    <row r="52" spans="1:20" ht="15.75">
      <c r="A52" s="110" t="s">
        <v>62</v>
      </c>
      <c r="B52" s="111">
        <v>46134</v>
      </c>
      <c r="C52" s="112" t="s">
        <v>204</v>
      </c>
      <c r="D52" s="113"/>
      <c r="E52" s="113">
        <v>170</v>
      </c>
      <c r="F52" s="12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</row>
    <row r="53" spans="1:20" ht="15.75">
      <c r="A53" s="110" t="s">
        <v>62</v>
      </c>
      <c r="B53" s="111">
        <v>46134</v>
      </c>
      <c r="C53" s="112" t="s">
        <v>205</v>
      </c>
      <c r="D53" s="113"/>
      <c r="E53" s="113">
        <v>600</v>
      </c>
      <c r="F53" s="12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</row>
    <row r="54" spans="1:20" ht="15.75">
      <c r="A54" s="110" t="s">
        <v>62</v>
      </c>
      <c r="B54" s="111">
        <v>46135</v>
      </c>
      <c r="C54" s="112" t="s">
        <v>228</v>
      </c>
      <c r="D54" s="113"/>
      <c r="E54" s="113">
        <v>20</v>
      </c>
      <c r="F54" s="12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</row>
    <row r="55" spans="1:20" ht="15.75">
      <c r="A55" s="110" t="s">
        <v>62</v>
      </c>
      <c r="B55" s="111">
        <v>46135</v>
      </c>
      <c r="C55" s="175" t="s">
        <v>229</v>
      </c>
      <c r="D55" s="176"/>
      <c r="E55" s="176">
        <v>20</v>
      </c>
      <c r="F55" s="12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</row>
    <row r="56" spans="1:20" ht="15.75">
      <c r="A56" s="110" t="s">
        <v>62</v>
      </c>
      <c r="B56" s="111">
        <v>46135</v>
      </c>
      <c r="C56" s="112" t="s">
        <v>230</v>
      </c>
      <c r="D56" s="113"/>
      <c r="E56" s="113">
        <v>25</v>
      </c>
      <c r="F56" s="12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</row>
    <row r="57" spans="1:20" ht="15.75">
      <c r="A57" s="110" t="s">
        <v>62</v>
      </c>
      <c r="B57" s="111">
        <v>46135</v>
      </c>
      <c r="C57" s="112" t="s">
        <v>47</v>
      </c>
      <c r="D57" s="113"/>
      <c r="E57" s="113">
        <v>50</v>
      </c>
      <c r="F57" s="12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</row>
    <row r="58" spans="1:20" ht="15.75">
      <c r="A58" s="110" t="s">
        <v>62</v>
      </c>
      <c r="B58" s="111">
        <v>46135</v>
      </c>
      <c r="C58" s="112" t="s">
        <v>163</v>
      </c>
      <c r="D58" s="113"/>
      <c r="E58" s="113">
        <v>100</v>
      </c>
      <c r="F58" s="12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</row>
    <row r="59" spans="1:20" ht="15.75">
      <c r="A59" s="110"/>
      <c r="B59" s="111">
        <v>46136</v>
      </c>
      <c r="C59" s="112" t="s">
        <v>243</v>
      </c>
      <c r="D59" s="113"/>
      <c r="E59" s="113">
        <v>50</v>
      </c>
      <c r="F59" s="12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</row>
    <row r="60" spans="1:20" ht="15.75">
      <c r="A60" s="110"/>
      <c r="B60" s="111">
        <v>46136</v>
      </c>
      <c r="C60" s="112" t="s">
        <v>231</v>
      </c>
      <c r="D60" s="113"/>
      <c r="E60" s="113">
        <v>60</v>
      </c>
      <c r="F60" s="12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</row>
    <row r="61" spans="1:20" ht="15.75">
      <c r="A61" s="110"/>
      <c r="B61" s="111">
        <v>46136</v>
      </c>
      <c r="C61" s="112" t="s">
        <v>244</v>
      </c>
      <c r="D61" s="113"/>
      <c r="E61" s="113">
        <v>20</v>
      </c>
      <c r="F61" s="12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</row>
    <row r="62" spans="1:20" ht="15.75">
      <c r="A62" s="110"/>
      <c r="B62" s="111">
        <v>46137</v>
      </c>
      <c r="C62" s="112" t="s">
        <v>250</v>
      </c>
      <c r="D62" s="113"/>
      <c r="E62" s="113">
        <v>20</v>
      </c>
      <c r="F62" s="12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</row>
    <row r="63" spans="1:20" ht="15.75">
      <c r="A63" s="110"/>
      <c r="B63" s="111">
        <v>46139</v>
      </c>
      <c r="C63" s="112" t="s">
        <v>165</v>
      </c>
      <c r="D63" s="113"/>
      <c r="E63" s="113">
        <v>50</v>
      </c>
      <c r="F63" s="12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</row>
    <row r="64" spans="1:20" ht="15.75">
      <c r="A64" s="110"/>
      <c r="B64" s="111">
        <v>46139</v>
      </c>
      <c r="C64" s="112" t="s">
        <v>163</v>
      </c>
      <c r="D64" s="113"/>
      <c r="E64" s="113">
        <v>100</v>
      </c>
      <c r="F64" s="12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</row>
    <row r="65" spans="1:20" ht="15.75">
      <c r="A65" s="110"/>
      <c r="B65" s="111">
        <v>46139</v>
      </c>
      <c r="C65" s="112" t="s">
        <v>177</v>
      </c>
      <c r="D65" s="113"/>
      <c r="E65" s="113">
        <v>10</v>
      </c>
      <c r="F65" s="12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</row>
    <row r="66" spans="1:20" ht="15.75">
      <c r="A66" s="110"/>
      <c r="B66" s="111">
        <v>46140</v>
      </c>
      <c r="C66" s="112" t="s">
        <v>167</v>
      </c>
      <c r="D66" s="113"/>
      <c r="E66" s="113">
        <v>200</v>
      </c>
      <c r="F66" s="12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</row>
    <row r="67" spans="1:20" ht="15.75">
      <c r="A67" s="110"/>
      <c r="B67" s="111">
        <v>46140</v>
      </c>
      <c r="C67" s="112" t="s">
        <v>259</v>
      </c>
      <c r="D67" s="113"/>
      <c r="E67" s="113">
        <v>200</v>
      </c>
      <c r="F67" s="12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</row>
    <row r="68" spans="1:20" ht="15.75">
      <c r="A68" s="110"/>
      <c r="B68" s="111">
        <v>46140</v>
      </c>
      <c r="C68" s="112" t="s">
        <v>260</v>
      </c>
      <c r="D68" s="113"/>
      <c r="E68" s="113">
        <v>20</v>
      </c>
      <c r="F68" s="12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</row>
    <row r="69" spans="1:20" ht="15.75">
      <c r="A69" s="110"/>
      <c r="B69" s="111">
        <v>46140</v>
      </c>
      <c r="C69" s="112" t="s">
        <v>261</v>
      </c>
      <c r="D69" s="113"/>
      <c r="E69" s="113">
        <v>85</v>
      </c>
      <c r="F69" s="12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</row>
    <row r="70" spans="1:20" ht="15.75">
      <c r="A70" s="110"/>
      <c r="B70" s="111"/>
      <c r="C70" s="112"/>
      <c r="D70" s="113"/>
      <c r="E70" s="113"/>
      <c r="F70" s="12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</row>
    <row r="71" spans="1:20" ht="15.75">
      <c r="A71" s="110"/>
      <c r="B71" s="111"/>
      <c r="C71" s="112"/>
      <c r="D71" s="113"/>
      <c r="E71" s="113"/>
      <c r="F71" s="12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</row>
    <row r="72" spans="1:20" ht="15.75">
      <c r="A72" s="110"/>
      <c r="B72" s="111"/>
      <c r="C72" s="112"/>
      <c r="D72" s="113"/>
      <c r="E72" s="113"/>
      <c r="F72" s="12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</row>
    <row r="73" spans="1:20" ht="15.75">
      <c r="A73" s="110"/>
      <c r="B73" s="111"/>
      <c r="C73" s="112"/>
      <c r="D73" s="113"/>
      <c r="E73" s="113"/>
      <c r="F73" s="12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</row>
    <row r="74" spans="1:20" ht="15.75">
      <c r="A74" s="110"/>
      <c r="B74" s="111"/>
      <c r="D74" s="113"/>
      <c r="E74" s="113"/>
      <c r="F74" s="12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</row>
    <row r="75" spans="1:20" ht="18">
      <c r="A75" s="122"/>
      <c r="B75" s="123"/>
      <c r="C75" s="124" t="s">
        <v>64</v>
      </c>
      <c r="D75" s="232">
        <f>SUM(E11:E74)</f>
        <v>6496.5</v>
      </c>
      <c r="E75" s="233"/>
      <c r="F75" s="12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</row>
    <row r="76" spans="1:20" ht="15.75">
      <c r="A76" s="109"/>
      <c r="B76" s="125"/>
      <c r="C76" s="126"/>
      <c r="D76" s="127"/>
      <c r="E76" s="127"/>
      <c r="F76" s="12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</row>
    <row r="77" spans="1:20" ht="15.75">
      <c r="A77" s="109"/>
      <c r="B77" s="125"/>
      <c r="C77" s="126"/>
      <c r="D77" s="127"/>
      <c r="E77" s="127"/>
      <c r="F77" s="12"/>
    </row>
    <row r="78" spans="1:20" ht="15.75">
      <c r="A78" s="109"/>
      <c r="B78" s="125"/>
      <c r="C78" s="126"/>
      <c r="D78" s="127"/>
      <c r="E78" s="127"/>
      <c r="F78" s="12"/>
    </row>
    <row r="79" spans="1:20" ht="15.75">
      <c r="A79" s="109"/>
      <c r="B79" s="125"/>
      <c r="C79" s="126"/>
      <c r="D79" s="127"/>
      <c r="E79" s="127"/>
      <c r="F79" s="12"/>
    </row>
    <row r="80" spans="1:20" ht="15.75">
      <c r="A80" s="109"/>
      <c r="B80" s="125"/>
      <c r="C80" s="126"/>
      <c r="D80" s="127"/>
      <c r="E80" s="127"/>
      <c r="F80" s="12"/>
    </row>
    <row r="81" spans="1:6" ht="15.75">
      <c r="A81" s="109"/>
      <c r="B81" s="125"/>
      <c r="C81" s="126"/>
      <c r="D81" s="127"/>
      <c r="E81" s="127"/>
      <c r="F81" s="12"/>
    </row>
    <row r="82" spans="1:6" ht="15.75">
      <c r="A82" s="109"/>
      <c r="B82" s="125"/>
      <c r="C82" s="126"/>
      <c r="D82" s="127"/>
      <c r="E82" s="127"/>
      <c r="F82" s="12"/>
    </row>
    <row r="83" spans="1:6" ht="15.75">
      <c r="A83" s="109"/>
      <c r="B83" s="125"/>
      <c r="C83" s="126"/>
      <c r="D83" s="128"/>
      <c r="E83" s="128"/>
      <c r="F83" s="12"/>
    </row>
    <row r="84" spans="1:6" ht="15.75">
      <c r="A84" s="109"/>
      <c r="B84" s="125"/>
      <c r="C84" s="126"/>
      <c r="D84" s="128"/>
      <c r="E84" s="128"/>
      <c r="F84" s="12"/>
    </row>
    <row r="85" spans="1:6" ht="15.75">
      <c r="A85" s="109"/>
      <c r="B85" s="125"/>
      <c r="C85" s="126"/>
      <c r="D85" s="128"/>
      <c r="E85" s="128"/>
      <c r="F85" s="12"/>
    </row>
    <row r="86" spans="1:6" ht="15.75">
      <c r="A86" s="109"/>
      <c r="B86" s="125"/>
      <c r="C86" s="126"/>
      <c r="D86" s="128"/>
      <c r="E86" s="128"/>
      <c r="F86" s="12"/>
    </row>
    <row r="87" spans="1:6" ht="15.75">
      <c r="A87" s="109"/>
      <c r="B87" s="125"/>
      <c r="C87" s="126"/>
      <c r="D87" s="128"/>
      <c r="E87" s="128"/>
      <c r="F87" s="12"/>
    </row>
    <row r="88" spans="1:6" ht="15.75">
      <c r="A88" s="109"/>
      <c r="B88" s="125"/>
      <c r="C88" s="126"/>
      <c r="D88" s="128"/>
      <c r="E88" s="128"/>
      <c r="F88" s="12"/>
    </row>
    <row r="89" spans="1:6" ht="15.75">
      <c r="A89" s="109"/>
      <c r="B89" s="125"/>
      <c r="C89" s="126"/>
      <c r="D89" s="128"/>
      <c r="E89" s="128"/>
      <c r="F89" s="12"/>
    </row>
    <row r="90" spans="1:6" ht="15.75">
      <c r="A90" s="109"/>
      <c r="B90" s="125"/>
      <c r="C90" s="126"/>
      <c r="D90" s="128"/>
      <c r="E90" s="128"/>
      <c r="F90" s="12"/>
    </row>
    <row r="91" spans="1:6" ht="15.75">
      <c r="A91" s="109"/>
      <c r="B91" s="125"/>
      <c r="C91" s="126"/>
      <c r="D91" s="128"/>
      <c r="E91" s="128"/>
      <c r="F91" s="12"/>
    </row>
    <row r="92" spans="1:6" ht="15.75">
      <c r="A92" s="109"/>
      <c r="B92" s="125"/>
      <c r="C92" s="126"/>
      <c r="D92" s="128"/>
      <c r="E92" s="128"/>
      <c r="F92" s="12"/>
    </row>
    <row r="93" spans="1:6" ht="15.75">
      <c r="A93" s="109"/>
      <c r="B93" s="125"/>
      <c r="C93" s="126"/>
      <c r="D93" s="128"/>
      <c r="E93" s="128"/>
      <c r="F93" s="12"/>
    </row>
    <row r="94" spans="1:6" ht="15.75">
      <c r="A94" s="109"/>
      <c r="B94" s="125"/>
      <c r="C94" s="126"/>
      <c r="D94" s="128"/>
      <c r="E94" s="128"/>
      <c r="F94" s="12"/>
    </row>
    <row r="95" spans="1:6" ht="15.75">
      <c r="A95" s="109"/>
      <c r="B95" s="125"/>
      <c r="C95" s="126"/>
      <c r="D95" s="128"/>
      <c r="E95" s="128"/>
      <c r="F95" s="12"/>
    </row>
    <row r="96" spans="1:6" ht="15.75">
      <c r="A96" s="109"/>
      <c r="B96" s="125"/>
      <c r="C96" s="126"/>
      <c r="D96" s="128"/>
      <c r="E96" s="128"/>
      <c r="F96" s="12"/>
    </row>
    <row r="97" spans="1:6" ht="15.75">
      <c r="A97" s="109"/>
      <c r="B97" s="125"/>
      <c r="C97" s="126"/>
      <c r="D97" s="128"/>
      <c r="E97" s="128"/>
      <c r="F97" s="12"/>
    </row>
    <row r="98" spans="1:6" ht="15.75">
      <c r="A98" s="109"/>
      <c r="B98" s="125"/>
      <c r="C98" s="126"/>
      <c r="D98" s="128"/>
      <c r="E98" s="128"/>
      <c r="F98" s="12"/>
    </row>
    <row r="99" spans="1:6" ht="15.75">
      <c r="A99" s="109"/>
      <c r="B99" s="125"/>
      <c r="C99" s="126"/>
      <c r="D99" s="128"/>
      <c r="E99" s="128"/>
      <c r="F99" s="12"/>
    </row>
    <row r="100" spans="1:6" ht="15.75">
      <c r="A100" s="109"/>
      <c r="B100" s="125"/>
      <c r="C100" s="126"/>
      <c r="D100" s="128"/>
      <c r="E100" s="128"/>
      <c r="F100" s="12"/>
    </row>
    <row r="101" spans="1:6" ht="15.75">
      <c r="A101" s="109"/>
      <c r="B101" s="125"/>
      <c r="C101" s="126"/>
      <c r="D101" s="128"/>
      <c r="E101" s="128"/>
      <c r="F101" s="12"/>
    </row>
    <row r="102" spans="1:6" ht="15.75">
      <c r="A102" s="109"/>
      <c r="B102" s="125"/>
      <c r="C102" s="126"/>
      <c r="D102" s="128"/>
      <c r="E102" s="128"/>
      <c r="F102" s="12"/>
    </row>
    <row r="103" spans="1:6" ht="15.75">
      <c r="A103" s="129"/>
      <c r="B103" s="125"/>
      <c r="C103" s="130"/>
      <c r="D103" s="131"/>
      <c r="E103" s="131"/>
      <c r="F103" s="12"/>
    </row>
    <row r="104" spans="1:6" ht="15.75">
      <c r="A104" s="109"/>
      <c r="B104" s="125"/>
      <c r="C104" s="126"/>
      <c r="D104" s="128"/>
      <c r="E104" s="128"/>
      <c r="F104" s="12"/>
    </row>
    <row r="105" spans="1:6" ht="15.75">
      <c r="A105" s="109"/>
      <c r="B105" s="125"/>
      <c r="C105" s="126"/>
      <c r="D105" s="128"/>
      <c r="E105" s="128"/>
      <c r="F105" s="12"/>
    </row>
    <row r="106" spans="1:6" ht="15.75">
      <c r="A106" s="109"/>
      <c r="B106" s="125"/>
      <c r="C106" s="126"/>
      <c r="D106" s="128"/>
      <c r="E106" s="128"/>
      <c r="F106" s="12"/>
    </row>
    <row r="107" spans="1:6" ht="15.75">
      <c r="A107" s="109"/>
      <c r="B107" s="125"/>
      <c r="C107" s="126"/>
      <c r="D107" s="128"/>
      <c r="E107" s="131"/>
      <c r="F107" s="12"/>
    </row>
    <row r="108" spans="1:6" ht="15.75">
      <c r="A108" s="109"/>
      <c r="B108" s="125"/>
      <c r="C108" s="126"/>
      <c r="D108" s="128"/>
      <c r="E108" s="128"/>
      <c r="F108" s="12"/>
    </row>
    <row r="109" spans="1:6" ht="15.75">
      <c r="A109" s="109"/>
      <c r="B109" s="125"/>
      <c r="C109" s="126"/>
      <c r="D109" s="128"/>
      <c r="E109" s="128"/>
      <c r="F109" s="12"/>
    </row>
    <row r="110" spans="1:6" ht="15.75">
      <c r="A110" s="109"/>
      <c r="B110" s="125"/>
      <c r="C110" s="126"/>
      <c r="D110" s="128"/>
      <c r="E110" s="128"/>
      <c r="F110" s="12"/>
    </row>
    <row r="111" spans="1:6" ht="15.75">
      <c r="A111" s="109"/>
      <c r="B111" s="125"/>
      <c r="C111" s="126"/>
      <c r="D111" s="128"/>
      <c r="E111" s="128"/>
      <c r="F111" s="12"/>
    </row>
    <row r="112" spans="1:6" ht="15.75">
      <c r="A112" s="109"/>
      <c r="B112" s="125"/>
      <c r="C112" s="126"/>
      <c r="D112" s="128"/>
      <c r="E112" s="128"/>
      <c r="F112" s="12"/>
    </row>
    <row r="113" spans="1:6" ht="15.75">
      <c r="A113" s="109"/>
      <c r="B113" s="125"/>
      <c r="C113" s="126"/>
      <c r="D113" s="128"/>
      <c r="E113" s="128"/>
      <c r="F113" s="12"/>
    </row>
    <row r="114" spans="1:6" ht="15.75">
      <c r="A114" s="109"/>
      <c r="B114" s="125"/>
      <c r="C114" s="126"/>
      <c r="D114" s="128"/>
      <c r="E114" s="128"/>
      <c r="F114" s="12"/>
    </row>
    <row r="115" spans="1:6" ht="15.75">
      <c r="A115" s="109"/>
      <c r="B115" s="125"/>
      <c r="C115" s="126"/>
      <c r="D115" s="128"/>
      <c r="E115" s="128"/>
      <c r="F115" s="12"/>
    </row>
    <row r="116" spans="1:6" ht="15.75">
      <c r="A116" s="109"/>
      <c r="B116" s="125"/>
      <c r="C116" s="126"/>
      <c r="D116" s="128"/>
      <c r="E116" s="128"/>
      <c r="F116" s="12"/>
    </row>
    <row r="117" spans="1:6" ht="15.75">
      <c r="A117" s="109"/>
      <c r="B117" s="125"/>
      <c r="C117" s="126"/>
      <c r="D117" s="128"/>
      <c r="E117" s="128"/>
      <c r="F117" s="12"/>
    </row>
    <row r="118" spans="1:6" ht="15.75">
      <c r="A118" s="109"/>
      <c r="B118" s="125"/>
      <c r="C118" s="126"/>
      <c r="D118" s="128"/>
      <c r="E118" s="128"/>
      <c r="F118" s="12"/>
    </row>
    <row r="119" spans="1:6" ht="15.75">
      <c r="A119" s="109"/>
      <c r="B119" s="125"/>
      <c r="C119" s="126"/>
      <c r="D119" s="128"/>
      <c r="E119" s="128"/>
      <c r="F119" s="12"/>
    </row>
    <row r="120" spans="1:6" ht="15.75">
      <c r="A120" s="109"/>
      <c r="B120" s="125"/>
      <c r="C120" s="126"/>
      <c r="D120" s="128"/>
      <c r="E120" s="128"/>
      <c r="F120" s="12"/>
    </row>
    <row r="121" spans="1:6" ht="15.75">
      <c r="A121" s="109"/>
      <c r="B121" s="125"/>
      <c r="C121" s="130"/>
      <c r="D121" s="131"/>
      <c r="E121" s="131"/>
      <c r="F121" s="12"/>
    </row>
    <row r="122" spans="1:6" ht="15.75">
      <c r="A122" s="109"/>
      <c r="B122" s="125"/>
      <c r="C122" s="126"/>
      <c r="D122" s="128"/>
      <c r="E122" s="128"/>
      <c r="F122" s="12"/>
    </row>
    <row r="123" spans="1:6" ht="15.75">
      <c r="A123" s="109"/>
      <c r="B123" s="125"/>
      <c r="C123" s="126"/>
      <c r="D123" s="128"/>
      <c r="E123" s="128"/>
      <c r="F123" s="12"/>
    </row>
    <row r="124" spans="1:6" ht="15.75">
      <c r="A124" s="109"/>
      <c r="B124" s="125"/>
      <c r="C124" s="126"/>
      <c r="D124" s="128"/>
      <c r="E124" s="128"/>
      <c r="F124" s="12"/>
    </row>
    <row r="125" spans="1:6" ht="15.75">
      <c r="A125" s="109"/>
      <c r="B125" s="125"/>
      <c r="C125" s="126"/>
      <c r="D125" s="128"/>
      <c r="E125" s="128"/>
      <c r="F125" s="12"/>
    </row>
    <row r="126" spans="1:6" ht="15.75">
      <c r="A126" s="109"/>
      <c r="B126" s="125"/>
      <c r="C126" s="126"/>
      <c r="D126" s="128"/>
      <c r="E126" s="128"/>
      <c r="F126" s="12"/>
    </row>
    <row r="127" spans="1:6" ht="15.75">
      <c r="A127" s="109"/>
      <c r="B127" s="125"/>
      <c r="C127" s="126"/>
      <c r="D127" s="128"/>
      <c r="E127" s="128"/>
      <c r="F127" s="12"/>
    </row>
    <row r="128" spans="1:6" ht="15.75">
      <c r="A128" s="109"/>
      <c r="B128" s="125"/>
      <c r="C128" s="126"/>
      <c r="D128" s="128"/>
      <c r="E128" s="128"/>
      <c r="F128" s="12"/>
    </row>
    <row r="129" spans="1:6" ht="15.75">
      <c r="A129" s="109"/>
      <c r="B129" s="125"/>
      <c r="C129" s="126"/>
      <c r="D129" s="128"/>
      <c r="E129" s="128"/>
      <c r="F129" s="12"/>
    </row>
    <row r="130" spans="1:6" ht="15.75">
      <c r="A130" s="109"/>
      <c r="B130" s="125"/>
      <c r="C130" s="126"/>
      <c r="D130" s="128"/>
      <c r="E130" s="128"/>
      <c r="F130" s="12"/>
    </row>
    <row r="131" spans="1:6" ht="15.75">
      <c r="A131" s="109"/>
      <c r="B131" s="125"/>
      <c r="C131" s="126"/>
      <c r="D131" s="128"/>
      <c r="E131" s="128"/>
      <c r="F131" s="12"/>
    </row>
    <row r="132" spans="1:6" ht="15.75">
      <c r="A132" s="109"/>
      <c r="B132" s="125"/>
      <c r="C132" s="126"/>
      <c r="D132" s="128"/>
      <c r="E132" s="128"/>
      <c r="F132" s="12"/>
    </row>
    <row r="133" spans="1:6" ht="15.75">
      <c r="A133" s="109"/>
      <c r="B133" s="125"/>
      <c r="C133" s="126"/>
      <c r="D133" s="128"/>
      <c r="E133" s="128"/>
      <c r="F133" s="12"/>
    </row>
    <row r="134" spans="1:6" ht="15.75">
      <c r="A134" s="109"/>
      <c r="B134" s="125"/>
      <c r="C134" s="126"/>
      <c r="D134" s="128"/>
      <c r="E134" s="128"/>
      <c r="F134" s="12"/>
    </row>
    <row r="135" spans="1:6" ht="15.75">
      <c r="A135" s="109"/>
      <c r="B135" s="125"/>
      <c r="C135" s="126"/>
      <c r="D135" s="128"/>
      <c r="E135" s="128"/>
      <c r="F135" s="12"/>
    </row>
    <row r="136" spans="1:6" ht="15.75">
      <c r="A136" s="109"/>
      <c r="B136" s="125"/>
      <c r="C136" s="126"/>
      <c r="D136" s="128"/>
      <c r="E136" s="128"/>
      <c r="F136" s="12"/>
    </row>
    <row r="137" spans="1:6" ht="15.75">
      <c r="A137" s="109"/>
      <c r="B137" s="11"/>
      <c r="C137" s="10"/>
      <c r="D137" s="17"/>
      <c r="E137" s="17"/>
      <c r="F137" s="12"/>
    </row>
    <row r="138" spans="1:6" ht="15.75">
      <c r="A138" s="109"/>
      <c r="B138" s="11"/>
      <c r="C138" s="10"/>
      <c r="D138" s="17"/>
      <c r="E138" s="17"/>
      <c r="F138" s="12"/>
    </row>
    <row r="139" spans="1:6" ht="15.75">
      <c r="A139" s="109"/>
      <c r="B139" s="11"/>
      <c r="C139" s="10"/>
      <c r="D139" s="17"/>
      <c r="E139" s="17"/>
      <c r="F139" s="12"/>
    </row>
    <row r="140" spans="1:6" ht="15.75">
      <c r="A140" s="109"/>
      <c r="B140" s="11"/>
      <c r="C140" s="10"/>
      <c r="D140" s="17"/>
      <c r="E140" s="17"/>
      <c r="F140" s="12"/>
    </row>
    <row r="141" spans="1:6" ht="15.75">
      <c r="A141" s="109"/>
      <c r="B141" s="11"/>
      <c r="C141" s="10"/>
      <c r="D141" s="17"/>
      <c r="E141" s="17"/>
      <c r="F141" s="12"/>
    </row>
    <row r="142" spans="1:6" ht="15.75">
      <c r="A142" s="109"/>
      <c r="B142" s="11"/>
      <c r="C142" s="10"/>
      <c r="D142" s="17"/>
      <c r="E142" s="17"/>
      <c r="F142" s="12"/>
    </row>
    <row r="143" spans="1:6" ht="15.75">
      <c r="A143" s="109"/>
      <c r="B143" s="11"/>
      <c r="C143" s="10"/>
      <c r="D143" s="17"/>
      <c r="E143" s="17"/>
      <c r="F143" s="12"/>
    </row>
    <row r="144" spans="1:6" ht="15.75">
      <c r="A144" s="109"/>
      <c r="B144" s="11"/>
      <c r="C144" s="10"/>
      <c r="D144" s="17"/>
      <c r="E144" s="17"/>
      <c r="F144" s="12"/>
    </row>
    <row r="145" spans="1:6" ht="15.75">
      <c r="A145" s="132"/>
      <c r="B145" s="11"/>
      <c r="C145" s="10"/>
      <c r="D145" s="17"/>
      <c r="E145" s="17"/>
      <c r="F145" s="12"/>
    </row>
    <row r="146" spans="1:6" ht="15.75">
      <c r="A146" s="109"/>
      <c r="B146" s="11"/>
      <c r="C146" s="10"/>
      <c r="D146" s="17"/>
      <c r="E146" s="17"/>
      <c r="F146" s="12"/>
    </row>
    <row r="147" spans="1:6" ht="15.75">
      <c r="A147" s="109"/>
      <c r="B147" s="11"/>
      <c r="C147" s="10"/>
      <c r="D147" s="17"/>
      <c r="E147" s="17"/>
      <c r="F147" s="12"/>
    </row>
    <row r="148" spans="1:6" ht="15.75">
      <c r="A148" s="109"/>
      <c r="B148" s="11"/>
      <c r="C148" s="10"/>
      <c r="D148" s="17"/>
      <c r="E148" s="17"/>
      <c r="F148" s="12"/>
    </row>
    <row r="149" spans="1:6" ht="15.75">
      <c r="A149" s="109"/>
      <c r="B149" s="11"/>
      <c r="C149" s="10"/>
      <c r="D149" s="17"/>
      <c r="E149" s="17"/>
      <c r="F149" s="12"/>
    </row>
    <row r="150" spans="1:6" ht="15.75">
      <c r="A150" s="109"/>
      <c r="B150" s="11"/>
      <c r="C150" s="10"/>
      <c r="D150" s="17"/>
      <c r="E150" s="17"/>
      <c r="F150" s="12"/>
    </row>
    <row r="151" spans="1:6" ht="15.75">
      <c r="A151" s="109"/>
      <c r="B151" s="11"/>
      <c r="C151" s="10"/>
      <c r="D151" s="17"/>
      <c r="E151" s="17"/>
      <c r="F151" s="12"/>
    </row>
    <row r="152" spans="1:6" ht="15.75">
      <c r="A152" s="109"/>
      <c r="B152" s="11"/>
      <c r="C152" s="10"/>
      <c r="D152" s="17"/>
      <c r="E152" s="17"/>
      <c r="F152" s="12"/>
    </row>
    <row r="153" spans="1:6" ht="15.75">
      <c r="A153" s="109"/>
      <c r="B153" s="11"/>
      <c r="C153" s="10"/>
      <c r="D153" s="17"/>
      <c r="E153" s="17"/>
      <c r="F153" s="12"/>
    </row>
    <row r="154" spans="1:6" ht="15.75">
      <c r="A154" s="109"/>
      <c r="B154" s="11"/>
      <c r="C154" s="10"/>
      <c r="D154" s="17"/>
      <c r="E154" s="17"/>
      <c r="F154" s="12"/>
    </row>
    <row r="155" spans="1:6" ht="15.75">
      <c r="A155" s="109"/>
      <c r="B155" s="11"/>
      <c r="C155" s="10"/>
      <c r="D155" s="17"/>
      <c r="E155" s="17"/>
      <c r="F155" s="12"/>
    </row>
    <row r="156" spans="1:6" ht="15.75">
      <c r="A156" s="109"/>
      <c r="B156" s="11"/>
      <c r="C156" s="10"/>
      <c r="D156" s="17"/>
      <c r="E156" s="17"/>
      <c r="F156" s="12"/>
    </row>
    <row r="157" spans="1:6" ht="15.75">
      <c r="A157" s="109"/>
      <c r="B157" s="11"/>
      <c r="C157" s="10"/>
      <c r="D157" s="17"/>
      <c r="E157" s="17"/>
      <c r="F157" s="12"/>
    </row>
    <row r="158" spans="1:6" ht="15.75">
      <c r="A158" s="109"/>
      <c r="B158" s="11"/>
      <c r="C158" s="10"/>
      <c r="D158" s="17"/>
      <c r="E158" s="17"/>
      <c r="F158" s="12"/>
    </row>
    <row r="159" spans="1:6" ht="15.75">
      <c r="A159" s="109"/>
      <c r="B159" s="11"/>
      <c r="C159" s="10"/>
      <c r="D159" s="17"/>
      <c r="E159" s="17"/>
      <c r="F159" s="12"/>
    </row>
    <row r="160" spans="1:6" ht="15.75">
      <c r="A160" s="109"/>
      <c r="B160" s="11"/>
      <c r="C160" s="10"/>
      <c r="D160" s="17"/>
      <c r="E160" s="17"/>
      <c r="F160" s="12"/>
    </row>
    <row r="161" spans="1:6" ht="15.75">
      <c r="A161" s="109"/>
      <c r="B161" s="11"/>
      <c r="C161" s="10"/>
      <c r="D161" s="17"/>
      <c r="E161" s="17"/>
      <c r="F161" s="12"/>
    </row>
    <row r="162" spans="1:6" ht="15.75">
      <c r="A162" s="109"/>
      <c r="B162" s="11"/>
      <c r="C162" s="10"/>
      <c r="D162" s="17"/>
      <c r="E162" s="17"/>
      <c r="F162" s="12"/>
    </row>
    <row r="163" spans="1:6" ht="15.75">
      <c r="A163" s="109"/>
      <c r="B163" s="11"/>
      <c r="C163" s="10"/>
      <c r="D163" s="17"/>
      <c r="E163" s="17"/>
      <c r="F163" s="12"/>
    </row>
    <row r="164" spans="1:6" ht="15.75">
      <c r="A164" s="109"/>
      <c r="B164" s="11"/>
      <c r="C164" s="10"/>
      <c r="D164" s="17"/>
      <c r="E164" s="17"/>
      <c r="F164" s="12"/>
    </row>
    <row r="165" spans="1:6" ht="15.75">
      <c r="A165" s="109"/>
      <c r="B165" s="11"/>
      <c r="C165" s="10"/>
      <c r="D165" s="17"/>
      <c r="E165" s="17"/>
      <c r="F165" s="12"/>
    </row>
    <row r="166" spans="1:6" ht="15.75">
      <c r="A166" s="109"/>
      <c r="B166" s="11"/>
      <c r="C166" s="10"/>
      <c r="D166" s="17"/>
      <c r="E166" s="17"/>
      <c r="F166" s="12"/>
    </row>
    <row r="167" spans="1:6" ht="15.75">
      <c r="A167" s="109"/>
      <c r="B167" s="11"/>
      <c r="C167" s="10"/>
      <c r="D167" s="17"/>
      <c r="E167" s="17"/>
      <c r="F167" s="12"/>
    </row>
    <row r="168" spans="1:6" ht="15.75">
      <c r="A168" s="109"/>
      <c r="B168" s="11"/>
      <c r="C168" s="10"/>
      <c r="D168" s="17"/>
      <c r="E168" s="17"/>
      <c r="F168" s="12"/>
    </row>
    <row r="169" spans="1:6" ht="15.75">
      <c r="A169" s="109"/>
      <c r="B169" s="11"/>
      <c r="C169" s="10"/>
      <c r="D169" s="17"/>
      <c r="E169" s="17"/>
      <c r="F169" s="12"/>
    </row>
    <row r="170" spans="1:6" ht="15.75">
      <c r="A170" s="109"/>
      <c r="B170" s="11"/>
      <c r="C170" s="10"/>
      <c r="D170" s="17"/>
      <c r="E170" s="17"/>
      <c r="F170" s="12"/>
    </row>
    <row r="171" spans="1:6" ht="15.75">
      <c r="A171" s="109"/>
      <c r="B171" s="11"/>
      <c r="C171" s="10"/>
      <c r="D171" s="17"/>
      <c r="E171" s="17"/>
      <c r="F171" s="12"/>
    </row>
    <row r="172" spans="1:6" ht="15.75">
      <c r="A172" s="109"/>
      <c r="B172" s="11"/>
      <c r="C172" s="10"/>
      <c r="D172" s="17"/>
      <c r="E172" s="17"/>
      <c r="F172" s="12"/>
    </row>
    <row r="173" spans="1:6" ht="15.75">
      <c r="A173" s="109"/>
      <c r="B173" s="11"/>
      <c r="C173" s="10"/>
      <c r="D173" s="17"/>
      <c r="E173" s="17"/>
      <c r="F173" s="12"/>
    </row>
    <row r="174" spans="1:6" ht="15.75">
      <c r="A174" s="109"/>
      <c r="B174" s="11"/>
      <c r="C174" s="10"/>
      <c r="D174" s="17"/>
      <c r="E174" s="17"/>
      <c r="F174" s="12"/>
    </row>
    <row r="175" spans="1:6" ht="15.75">
      <c r="A175" s="109"/>
      <c r="B175" s="11"/>
      <c r="C175" s="10"/>
      <c r="D175" s="17"/>
      <c r="E175" s="17"/>
      <c r="F175" s="12"/>
    </row>
    <row r="176" spans="1:6" ht="15.75">
      <c r="A176" s="109"/>
      <c r="B176" s="11"/>
      <c r="C176" s="10"/>
      <c r="D176" s="17"/>
      <c r="E176" s="17"/>
      <c r="F176" s="12"/>
    </row>
    <row r="177" spans="1:6" ht="15.75">
      <c r="A177" s="109"/>
      <c r="B177" s="11"/>
      <c r="C177" s="10"/>
      <c r="D177" s="17"/>
      <c r="E177" s="17"/>
      <c r="F177" s="12"/>
    </row>
    <row r="178" spans="1:6" ht="15.75">
      <c r="A178" s="109"/>
      <c r="B178" s="11"/>
      <c r="C178" s="10"/>
      <c r="D178" s="17"/>
      <c r="E178" s="17"/>
      <c r="F178" s="12"/>
    </row>
    <row r="179" spans="1:6" ht="15.75">
      <c r="A179" s="109"/>
      <c r="B179" s="11"/>
      <c r="C179" s="10"/>
      <c r="D179" s="17"/>
      <c r="E179" s="17"/>
      <c r="F179" s="12"/>
    </row>
    <row r="180" spans="1:6" ht="15.75">
      <c r="A180" s="109"/>
      <c r="B180" s="11"/>
      <c r="C180" s="10"/>
      <c r="D180" s="17"/>
      <c r="E180" s="17"/>
      <c r="F180" s="12"/>
    </row>
    <row r="181" spans="1:6" ht="15.75">
      <c r="A181" s="109"/>
      <c r="B181" s="11"/>
      <c r="C181" s="10"/>
      <c r="D181" s="17"/>
      <c r="E181" s="17"/>
      <c r="F181" s="12"/>
    </row>
    <row r="182" spans="1:6" ht="15.75">
      <c r="A182" s="109"/>
      <c r="B182" s="11"/>
      <c r="C182" s="10"/>
      <c r="D182" s="17"/>
      <c r="E182" s="17"/>
      <c r="F182" s="12"/>
    </row>
    <row r="183" spans="1:6" ht="15.75">
      <c r="A183" s="109"/>
      <c r="B183" s="11"/>
      <c r="C183" s="10"/>
      <c r="D183" s="17"/>
      <c r="E183" s="17"/>
      <c r="F183" s="12"/>
    </row>
    <row r="184" spans="1:6" ht="15.75">
      <c r="A184" s="109"/>
      <c r="B184" s="11"/>
      <c r="C184" s="10"/>
      <c r="D184" s="17"/>
      <c r="E184" s="17"/>
      <c r="F184" s="12"/>
    </row>
    <row r="185" spans="1:6" ht="15.75">
      <c r="A185" s="109"/>
      <c r="B185" s="11"/>
      <c r="C185" s="10"/>
      <c r="D185" s="17"/>
      <c r="E185" s="17"/>
      <c r="F185" s="12"/>
    </row>
    <row r="186" spans="1:6" ht="15.75">
      <c r="A186" s="109"/>
      <c r="B186" s="11"/>
      <c r="C186" s="10"/>
      <c r="D186" s="17"/>
      <c r="E186" s="17"/>
      <c r="F186" s="12"/>
    </row>
    <row r="187" spans="1:6" ht="15.75">
      <c r="A187" s="109"/>
      <c r="B187" s="11"/>
      <c r="C187" s="10"/>
      <c r="D187" s="17"/>
      <c r="E187" s="17"/>
      <c r="F187" s="12"/>
    </row>
    <row r="188" spans="1:6" ht="15.75">
      <c r="A188" s="109"/>
      <c r="B188" s="11"/>
      <c r="C188" s="10"/>
      <c r="D188" s="17"/>
      <c r="E188" s="17"/>
      <c r="F188" s="12"/>
    </row>
    <row r="189" spans="1:6" ht="15.75">
      <c r="A189" s="109"/>
      <c r="B189" s="11"/>
      <c r="C189" s="10"/>
      <c r="D189" s="17"/>
      <c r="E189" s="17"/>
      <c r="F189" s="12"/>
    </row>
    <row r="190" spans="1:6" ht="15.75">
      <c r="A190" s="109"/>
      <c r="B190" s="11"/>
      <c r="C190" s="10"/>
      <c r="D190" s="17"/>
      <c r="E190" s="17"/>
      <c r="F190" s="12"/>
    </row>
    <row r="191" spans="1:6" ht="15.75">
      <c r="A191" s="109"/>
      <c r="B191" s="11"/>
      <c r="C191" s="10"/>
      <c r="D191" s="17"/>
      <c r="E191" s="17"/>
      <c r="F191" s="12"/>
    </row>
    <row r="192" spans="1:6" ht="15.75">
      <c r="A192" s="10"/>
      <c r="B192" s="11"/>
      <c r="C192" s="10"/>
      <c r="D192" s="17"/>
      <c r="E192" s="17"/>
      <c r="F192" s="12"/>
    </row>
    <row r="193" spans="1:6" ht="15.75">
      <c r="A193" s="10"/>
      <c r="B193" s="11"/>
      <c r="C193" s="10"/>
      <c r="D193" s="17"/>
      <c r="E193" s="17"/>
      <c r="F193" s="12"/>
    </row>
    <row r="194" spans="1:6" ht="15.75">
      <c r="A194" s="10"/>
      <c r="B194" s="11"/>
      <c r="C194" s="10"/>
      <c r="D194" s="17"/>
      <c r="E194" s="17"/>
      <c r="F194" s="12"/>
    </row>
    <row r="195" spans="1:6" ht="15.75">
      <c r="A195" s="10"/>
      <c r="B195" s="11"/>
      <c r="C195" s="10"/>
      <c r="D195" s="17"/>
      <c r="E195" s="17"/>
      <c r="F195" s="12"/>
    </row>
    <row r="196" spans="1:6" ht="15.75">
      <c r="A196" s="10"/>
      <c r="B196" s="11"/>
      <c r="C196" s="10"/>
      <c r="D196" s="17"/>
      <c r="E196" s="17"/>
      <c r="F196" s="12"/>
    </row>
    <row r="197" spans="1:6" ht="15.75">
      <c r="A197" s="10"/>
      <c r="B197" s="11"/>
      <c r="C197" s="10"/>
      <c r="D197" s="17"/>
      <c r="E197" s="17"/>
      <c r="F197" s="12"/>
    </row>
    <row r="198" spans="1:6" ht="15.75">
      <c r="A198" s="10"/>
      <c r="B198" s="11"/>
      <c r="C198" s="10"/>
      <c r="D198" s="17"/>
      <c r="E198" s="17"/>
      <c r="F198" s="12"/>
    </row>
    <row r="199" spans="1:6" ht="15.75">
      <c r="A199" s="10"/>
      <c r="B199" s="11"/>
      <c r="C199" s="10"/>
      <c r="D199" s="17"/>
      <c r="E199" s="17"/>
      <c r="F199" s="12"/>
    </row>
    <row r="200" spans="1:6" ht="15.75">
      <c r="A200" s="10"/>
      <c r="B200" s="11"/>
      <c r="C200" s="10"/>
      <c r="D200" s="17"/>
      <c r="E200" s="17"/>
      <c r="F200" s="12"/>
    </row>
    <row r="201" spans="1:6" ht="15.75">
      <c r="A201" s="10"/>
      <c r="B201" s="11"/>
      <c r="C201" s="10"/>
      <c r="D201" s="17"/>
      <c r="E201" s="17"/>
      <c r="F201" s="12"/>
    </row>
    <row r="202" spans="1:6" ht="15.75">
      <c r="A202" s="10"/>
      <c r="B202" s="11"/>
      <c r="C202" s="10"/>
      <c r="D202" s="17"/>
      <c r="E202" s="17"/>
      <c r="F202" s="12"/>
    </row>
    <row r="203" spans="1:6" ht="15.75">
      <c r="A203" s="10"/>
      <c r="B203" s="11"/>
      <c r="C203" s="10"/>
      <c r="D203" s="17"/>
      <c r="E203" s="17"/>
      <c r="F203" s="12"/>
    </row>
    <row r="204" spans="1:6" ht="15.75">
      <c r="A204" s="10"/>
      <c r="B204" s="11"/>
      <c r="C204" s="10"/>
      <c r="D204" s="17"/>
      <c r="E204" s="17"/>
      <c r="F204" s="12"/>
    </row>
    <row r="205" spans="1:6" ht="15.75">
      <c r="A205" s="7"/>
      <c r="B205" s="7"/>
      <c r="C205" s="7"/>
      <c r="D205" s="13"/>
      <c r="E205" s="13"/>
      <c r="F205" s="12"/>
    </row>
    <row r="206" spans="1:6" ht="15.75">
      <c r="A206" s="7"/>
      <c r="B206" s="7"/>
      <c r="C206" s="7"/>
      <c r="D206" s="13"/>
      <c r="E206" s="13"/>
      <c r="F206" s="12"/>
    </row>
    <row r="207" spans="1:6" ht="15.75">
      <c r="A207" s="7"/>
      <c r="B207" s="7"/>
      <c r="C207" s="7"/>
      <c r="D207" s="13"/>
      <c r="E207" s="13"/>
      <c r="F207" s="12"/>
    </row>
    <row r="208" spans="1:6">
      <c r="A208" s="7"/>
      <c r="B208" s="7"/>
      <c r="C208" s="7"/>
      <c r="D208" s="13"/>
      <c r="E208" s="13"/>
      <c r="F208" s="13"/>
    </row>
    <row r="209" spans="6:6">
      <c r="F209" s="13"/>
    </row>
    <row r="210" spans="6:6">
      <c r="F210" s="13"/>
    </row>
    <row r="211" spans="6:6">
      <c r="F211" s="13">
        <f>+F209-F210</f>
        <v>0</v>
      </c>
    </row>
  </sheetData>
  <mergeCells count="154">
    <mergeCell ref="R11:S11"/>
    <mergeCell ref="R12:S12"/>
    <mergeCell ref="R13:S13"/>
    <mergeCell ref="L11:M11"/>
    <mergeCell ref="L12:M12"/>
    <mergeCell ref="L13:M13"/>
    <mergeCell ref="T11:U11"/>
    <mergeCell ref="T13:U13"/>
    <mergeCell ref="L42:M42"/>
    <mergeCell ref="L15:M15"/>
    <mergeCell ref="O12:Q12"/>
    <mergeCell ref="O13:Q13"/>
    <mergeCell ref="N22:R22"/>
    <mergeCell ref="N21:R21"/>
    <mergeCell ref="S21:T21"/>
    <mergeCell ref="O14:Q14"/>
    <mergeCell ref="T14:U14"/>
    <mergeCell ref="O11:Q11"/>
    <mergeCell ref="J18:S19"/>
    <mergeCell ref="S31:T31"/>
    <mergeCell ref="N23:R23"/>
    <mergeCell ref="N24:R24"/>
    <mergeCell ref="N25:R25"/>
    <mergeCell ref="I23:J23"/>
    <mergeCell ref="I24:J24"/>
    <mergeCell ref="I34:J34"/>
    <mergeCell ref="I35:J35"/>
    <mergeCell ref="S45:T45"/>
    <mergeCell ref="S46:T46"/>
    <mergeCell ref="S47:T47"/>
    <mergeCell ref="I45:J45"/>
    <mergeCell ref="I46:J46"/>
    <mergeCell ref="I47:J47"/>
    <mergeCell ref="L45:M45"/>
    <mergeCell ref="L46:M46"/>
    <mergeCell ref="L47:M47"/>
    <mergeCell ref="N45:R45"/>
    <mergeCell ref="N46:R46"/>
    <mergeCell ref="N47:R47"/>
    <mergeCell ref="L25:M25"/>
    <mergeCell ref="L26:M26"/>
    <mergeCell ref="S33:T33"/>
    <mergeCell ref="S34:T34"/>
    <mergeCell ref="S35:T35"/>
    <mergeCell ref="N34:R34"/>
    <mergeCell ref="N44:R44"/>
    <mergeCell ref="S43:T43"/>
    <mergeCell ref="S44:T44"/>
    <mergeCell ref="D75:E75"/>
    <mergeCell ref="I21:J21"/>
    <mergeCell ref="L21:M21"/>
    <mergeCell ref="L6:M6"/>
    <mergeCell ref="L7:M7"/>
    <mergeCell ref="L8:M8"/>
    <mergeCell ref="L9:M9"/>
    <mergeCell ref="L10:M10"/>
    <mergeCell ref="I26:J26"/>
    <mergeCell ref="I27:J27"/>
    <mergeCell ref="I28:J28"/>
    <mergeCell ref="I29:J29"/>
    <mergeCell ref="I30:J30"/>
    <mergeCell ref="L35:M35"/>
    <mergeCell ref="L36:M36"/>
    <mergeCell ref="I31:J31"/>
    <mergeCell ref="I32:J32"/>
    <mergeCell ref="I48:J48"/>
    <mergeCell ref="I42:J42"/>
    <mergeCell ref="L22:M22"/>
    <mergeCell ref="I22:J22"/>
    <mergeCell ref="I25:J25"/>
    <mergeCell ref="L48:M48"/>
    <mergeCell ref="I36:J36"/>
    <mergeCell ref="A1:F3"/>
    <mergeCell ref="B5:C5"/>
    <mergeCell ref="O4:R5"/>
    <mergeCell ref="R6:S6"/>
    <mergeCell ref="S32:T32"/>
    <mergeCell ref="O9:Q9"/>
    <mergeCell ref="O10:Q10"/>
    <mergeCell ref="O15:Q15"/>
    <mergeCell ref="R9:S9"/>
    <mergeCell ref="R15:S15"/>
    <mergeCell ref="R10:S10"/>
    <mergeCell ref="R14:S14"/>
    <mergeCell ref="S22:T22"/>
    <mergeCell ref="T9:U9"/>
    <mergeCell ref="T10:U10"/>
    <mergeCell ref="L27:M27"/>
    <mergeCell ref="L28:M28"/>
    <mergeCell ref="L29:M29"/>
    <mergeCell ref="L30:M30"/>
    <mergeCell ref="L31:M31"/>
    <mergeCell ref="L32:M32"/>
    <mergeCell ref="S23:T23"/>
    <mergeCell ref="S24:T24"/>
    <mergeCell ref="S25:T25"/>
    <mergeCell ref="T6:U6"/>
    <mergeCell ref="N29:R29"/>
    <mergeCell ref="N30:R30"/>
    <mergeCell ref="L33:M33"/>
    <mergeCell ref="T7:U7"/>
    <mergeCell ref="T8:U8"/>
    <mergeCell ref="T12:U12"/>
    <mergeCell ref="T15:U15"/>
    <mergeCell ref="N31:R31"/>
    <mergeCell ref="R7:S7"/>
    <mergeCell ref="R8:S8"/>
    <mergeCell ref="L23:M23"/>
    <mergeCell ref="L24:M24"/>
    <mergeCell ref="N32:R32"/>
    <mergeCell ref="N27:R27"/>
    <mergeCell ref="N28:R28"/>
    <mergeCell ref="L14:M14"/>
    <mergeCell ref="S26:T26"/>
    <mergeCell ref="S27:T27"/>
    <mergeCell ref="S28:T28"/>
    <mergeCell ref="S29:T29"/>
    <mergeCell ref="S30:T30"/>
    <mergeCell ref="N26:R26"/>
    <mergeCell ref="N33:R33"/>
    <mergeCell ref="S48:T48"/>
    <mergeCell ref="I39:J39"/>
    <mergeCell ref="I40:J40"/>
    <mergeCell ref="I41:J41"/>
    <mergeCell ref="N48:R48"/>
    <mergeCell ref="N37:R37"/>
    <mergeCell ref="N38:R38"/>
    <mergeCell ref="N42:R42"/>
    <mergeCell ref="S39:T39"/>
    <mergeCell ref="S40:T40"/>
    <mergeCell ref="S41:T41"/>
    <mergeCell ref="I37:J37"/>
    <mergeCell ref="I38:J38"/>
    <mergeCell ref="L37:M37"/>
    <mergeCell ref="L38:M38"/>
    <mergeCell ref="N40:R40"/>
    <mergeCell ref="L41:M41"/>
    <mergeCell ref="N39:R39"/>
    <mergeCell ref="S42:T42"/>
    <mergeCell ref="I43:J43"/>
    <mergeCell ref="I44:J44"/>
    <mergeCell ref="L43:M43"/>
    <mergeCell ref="L44:M44"/>
    <mergeCell ref="N43:R43"/>
    <mergeCell ref="L34:M34"/>
    <mergeCell ref="L39:M39"/>
    <mergeCell ref="L40:M40"/>
    <mergeCell ref="S37:T37"/>
    <mergeCell ref="S38:T38"/>
    <mergeCell ref="N41:R41"/>
    <mergeCell ref="S36:T36"/>
    <mergeCell ref="I33:J33"/>
    <mergeCell ref="N35:R35"/>
    <mergeCell ref="N36:R36"/>
  </mergeCells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K99"/>
  <sheetViews>
    <sheetView topLeftCell="A28" workbookViewId="0">
      <selection activeCell="E52" sqref="E52"/>
    </sheetView>
  </sheetViews>
  <sheetFormatPr baseColWidth="10" defaultRowHeight="15"/>
  <cols>
    <col min="1" max="1" width="35.85546875" customWidth="1"/>
    <col min="2" max="2" width="38.5703125" customWidth="1"/>
    <col min="3" max="3" width="26.5703125" customWidth="1"/>
    <col min="4" max="4" width="20.5703125" customWidth="1"/>
    <col min="5" max="5" width="90" customWidth="1"/>
  </cols>
  <sheetData>
    <row r="1" spans="1:11" ht="15" customHeight="1">
      <c r="A1" s="238" t="s">
        <v>0</v>
      </c>
      <c r="B1" s="238"/>
      <c r="C1" s="238"/>
      <c r="D1" s="238"/>
      <c r="E1" s="238"/>
    </row>
    <row r="2" spans="1:11" ht="15" customHeight="1">
      <c r="A2" s="238"/>
      <c r="B2" s="238"/>
      <c r="C2" s="238"/>
      <c r="D2" s="238"/>
      <c r="E2" s="238"/>
    </row>
    <row r="3" spans="1:11" ht="15.75" customHeight="1" thickBot="1">
      <c r="A3" s="239"/>
      <c r="B3" s="239"/>
      <c r="C3" s="239"/>
      <c r="D3" s="239"/>
      <c r="E3" s="239"/>
    </row>
    <row r="4" spans="1:11" ht="17.25" customHeight="1">
      <c r="A4" s="1"/>
      <c r="B4" s="1"/>
      <c r="C4" s="1"/>
      <c r="D4" s="1"/>
      <c r="E4" s="1"/>
    </row>
    <row r="5" spans="1:11" ht="15.75">
      <c r="A5" s="240" t="s">
        <v>10</v>
      </c>
      <c r="B5" s="240"/>
      <c r="C5" s="3"/>
      <c r="D5" s="241" t="s">
        <v>2</v>
      </c>
      <c r="E5" s="241"/>
    </row>
    <row r="6" spans="1:11" ht="15.75">
      <c r="A6" s="3"/>
      <c r="B6" s="3"/>
      <c r="C6" s="3"/>
      <c r="D6" s="3"/>
    </row>
    <row r="7" spans="1:11" ht="15.75">
      <c r="B7" s="28" t="s">
        <v>37</v>
      </c>
      <c r="C7" s="22">
        <f>+'JOURNAL DE CAISSE'!B7</f>
        <v>46113</v>
      </c>
      <c r="D7" s="28" t="s">
        <v>4</v>
      </c>
      <c r="E7" s="22">
        <f>+'JOURNAL DE CAISSE'!D7</f>
        <v>46142</v>
      </c>
    </row>
    <row r="9" spans="1:11" ht="15.75" hidden="1" thickBot="1">
      <c r="H9" s="37">
        <v>100</v>
      </c>
    </row>
    <row r="10" spans="1:11" s="24" customFormat="1" ht="27.75" customHeight="1">
      <c r="A10" s="47" t="s">
        <v>11</v>
      </c>
      <c r="B10" s="48" t="s">
        <v>6</v>
      </c>
      <c r="C10" s="48" t="s">
        <v>12</v>
      </c>
      <c r="D10" s="48" t="s">
        <v>13</v>
      </c>
      <c r="E10" s="48" t="s">
        <v>14</v>
      </c>
    </row>
    <row r="11" spans="1:11" ht="15.75">
      <c r="A11" s="81" t="s">
        <v>44</v>
      </c>
      <c r="B11" s="82">
        <v>46113</v>
      </c>
      <c r="C11" s="106">
        <v>300</v>
      </c>
      <c r="D11" s="81" t="s">
        <v>44</v>
      </c>
      <c r="E11" s="83" t="s">
        <v>77</v>
      </c>
    </row>
    <row r="12" spans="1:11" ht="15.75">
      <c r="A12" s="81" t="s">
        <v>53</v>
      </c>
      <c r="B12" s="82">
        <v>46113</v>
      </c>
      <c r="C12" s="106">
        <v>500</v>
      </c>
      <c r="D12" s="81" t="s">
        <v>54</v>
      </c>
      <c r="E12" s="83" t="s">
        <v>56</v>
      </c>
    </row>
    <row r="13" spans="1:11" ht="15.75">
      <c r="A13" s="81" t="s">
        <v>45</v>
      </c>
      <c r="B13" s="82">
        <v>46116</v>
      </c>
      <c r="C13" s="106">
        <v>700</v>
      </c>
      <c r="D13" s="81" t="s">
        <v>46</v>
      </c>
      <c r="E13" s="83"/>
    </row>
    <row r="14" spans="1:11" ht="15.75">
      <c r="A14" s="81" t="s">
        <v>47</v>
      </c>
      <c r="B14" s="82">
        <v>46120</v>
      </c>
      <c r="C14" s="106">
        <v>300</v>
      </c>
      <c r="D14" s="81" t="s">
        <v>48</v>
      </c>
      <c r="E14" s="83"/>
      <c r="K14" s="36"/>
    </row>
    <row r="15" spans="1:11" ht="15.75">
      <c r="A15" s="81" t="s">
        <v>49</v>
      </c>
      <c r="B15" s="82"/>
      <c r="C15" s="106"/>
      <c r="D15" s="81" t="s">
        <v>50</v>
      </c>
      <c r="E15" s="83"/>
    </row>
    <row r="16" spans="1:11" ht="15.75">
      <c r="A16" s="81" t="s">
        <v>52</v>
      </c>
      <c r="B16" s="82">
        <v>46113</v>
      </c>
      <c r="C16" s="107">
        <v>800</v>
      </c>
      <c r="D16" s="81" t="s">
        <v>51</v>
      </c>
      <c r="E16" s="83" t="s">
        <v>55</v>
      </c>
    </row>
    <row r="17" spans="1:7" ht="15.75">
      <c r="A17" s="81" t="s">
        <v>52</v>
      </c>
      <c r="B17" s="82">
        <v>46113</v>
      </c>
      <c r="C17" s="106">
        <v>300</v>
      </c>
      <c r="D17" s="81" t="s">
        <v>51</v>
      </c>
      <c r="E17" s="83" t="s">
        <v>57</v>
      </c>
    </row>
    <row r="18" spans="1:7" ht="15.75">
      <c r="A18" s="81" t="s">
        <v>70</v>
      </c>
      <c r="B18" s="82">
        <v>46116</v>
      </c>
      <c r="C18" s="106">
        <v>2000</v>
      </c>
      <c r="D18" s="81" t="s">
        <v>71</v>
      </c>
      <c r="E18" s="83" t="s">
        <v>72</v>
      </c>
    </row>
    <row r="19" spans="1:7" ht="15.75">
      <c r="A19" s="81" t="s">
        <v>44</v>
      </c>
      <c r="B19" s="82">
        <v>46118</v>
      </c>
      <c r="C19" s="106">
        <f>600+300</f>
        <v>900</v>
      </c>
      <c r="D19" s="81" t="s">
        <v>44</v>
      </c>
      <c r="E19" s="83" t="s">
        <v>73</v>
      </c>
    </row>
    <row r="20" spans="1:7" ht="15.75">
      <c r="A20" s="84" t="s">
        <v>44</v>
      </c>
      <c r="B20" s="82">
        <v>46118</v>
      </c>
      <c r="C20" s="107">
        <v>400</v>
      </c>
      <c r="D20" s="84" t="s">
        <v>44</v>
      </c>
      <c r="E20" s="85" t="s">
        <v>73</v>
      </c>
      <c r="G20" s="16"/>
    </row>
    <row r="21" spans="1:7" ht="15.75">
      <c r="A21" s="81" t="s">
        <v>70</v>
      </c>
      <c r="B21" s="82">
        <v>46118</v>
      </c>
      <c r="C21" s="106">
        <v>200</v>
      </c>
      <c r="D21" s="81" t="s">
        <v>71</v>
      </c>
      <c r="E21" s="83" t="s">
        <v>73</v>
      </c>
    </row>
    <row r="22" spans="1:7" ht="15.75">
      <c r="A22" s="81" t="s">
        <v>44</v>
      </c>
      <c r="B22" s="82">
        <v>46121</v>
      </c>
      <c r="C22" s="106">
        <v>100</v>
      </c>
      <c r="D22" s="81" t="s">
        <v>44</v>
      </c>
      <c r="E22" s="83" t="s">
        <v>73</v>
      </c>
    </row>
    <row r="23" spans="1:7" ht="15.75">
      <c r="A23" s="81" t="s">
        <v>52</v>
      </c>
      <c r="B23" s="82">
        <v>46121</v>
      </c>
      <c r="C23" s="106">
        <v>200</v>
      </c>
      <c r="D23" s="81" t="s">
        <v>51</v>
      </c>
      <c r="E23" s="83" t="s">
        <v>77</v>
      </c>
    </row>
    <row r="24" spans="1:7" ht="15.75">
      <c r="A24" s="81" t="s">
        <v>44</v>
      </c>
      <c r="B24" s="82">
        <v>46122</v>
      </c>
      <c r="C24" s="106">
        <v>1000</v>
      </c>
      <c r="D24" s="81" t="s">
        <v>44</v>
      </c>
      <c r="E24" s="83" t="s">
        <v>77</v>
      </c>
    </row>
    <row r="25" spans="1:7" ht="15.75">
      <c r="A25" s="141" t="s">
        <v>47</v>
      </c>
      <c r="B25" s="142">
        <v>46123</v>
      </c>
      <c r="C25" s="143">
        <v>100</v>
      </c>
      <c r="D25" s="141" t="s">
        <v>48</v>
      </c>
      <c r="E25" s="144"/>
    </row>
    <row r="26" spans="1:7" ht="15.75">
      <c r="A26" s="141" t="s">
        <v>45</v>
      </c>
      <c r="B26" s="142">
        <v>46123</v>
      </c>
      <c r="C26" s="143">
        <v>200</v>
      </c>
      <c r="D26" s="141" t="s">
        <v>46</v>
      </c>
      <c r="E26" s="144"/>
    </row>
    <row r="27" spans="1:7" ht="15.75">
      <c r="A27" s="81" t="s">
        <v>122</v>
      </c>
      <c r="B27" s="82">
        <v>46122</v>
      </c>
      <c r="C27" s="106">
        <v>3000</v>
      </c>
      <c r="D27" s="81" t="s">
        <v>54</v>
      </c>
      <c r="E27" s="83" t="s">
        <v>123</v>
      </c>
    </row>
    <row r="28" spans="1:7" ht="15.75">
      <c r="A28" s="148" t="s">
        <v>70</v>
      </c>
      <c r="B28" s="149">
        <v>46127</v>
      </c>
      <c r="C28" s="150">
        <f>3200-500</f>
        <v>2700</v>
      </c>
      <c r="D28" s="148" t="s">
        <v>71</v>
      </c>
      <c r="E28" s="151" t="s">
        <v>130</v>
      </c>
      <c r="F28" s="4"/>
    </row>
    <row r="29" spans="1:7" ht="15.75">
      <c r="A29" s="152" t="s">
        <v>44</v>
      </c>
      <c r="B29" s="153">
        <v>46127</v>
      </c>
      <c r="C29" s="154">
        <f>5000-1000-300</f>
        <v>3700</v>
      </c>
      <c r="D29" s="152" t="s">
        <v>44</v>
      </c>
      <c r="E29" s="155" t="s">
        <v>130</v>
      </c>
      <c r="F29" s="4"/>
    </row>
    <row r="30" spans="1:7" ht="15.75">
      <c r="A30" s="152" t="s">
        <v>124</v>
      </c>
      <c r="B30" s="153">
        <v>46127</v>
      </c>
      <c r="C30" s="154">
        <v>2250</v>
      </c>
      <c r="D30" s="152" t="s">
        <v>128</v>
      </c>
      <c r="E30" s="155" t="s">
        <v>130</v>
      </c>
      <c r="F30" s="16"/>
    </row>
    <row r="31" spans="1:7" ht="15.75">
      <c r="A31" s="152" t="s">
        <v>125</v>
      </c>
      <c r="B31" s="153">
        <v>46127</v>
      </c>
      <c r="C31" s="154">
        <v>1600</v>
      </c>
      <c r="D31" s="152" t="s">
        <v>129</v>
      </c>
      <c r="E31" s="155" t="s">
        <v>130</v>
      </c>
    </row>
    <row r="32" spans="1:7" ht="15.75">
      <c r="A32" s="152" t="s">
        <v>126</v>
      </c>
      <c r="B32" s="153">
        <v>46127</v>
      </c>
      <c r="C32" s="154">
        <v>1600</v>
      </c>
      <c r="D32" s="152" t="s">
        <v>71</v>
      </c>
      <c r="E32" s="155" t="s">
        <v>130</v>
      </c>
    </row>
    <row r="33" spans="1:5" ht="15.75">
      <c r="A33" s="152" t="s">
        <v>127</v>
      </c>
      <c r="B33" s="153">
        <v>46127</v>
      </c>
      <c r="C33" s="154">
        <v>1500</v>
      </c>
      <c r="D33" s="152" t="s">
        <v>51</v>
      </c>
      <c r="E33" s="155" t="s">
        <v>130</v>
      </c>
    </row>
    <row r="34" spans="1:5" ht="16.5" thickBot="1">
      <c r="A34" s="156" t="s">
        <v>52</v>
      </c>
      <c r="B34" s="157">
        <v>46127</v>
      </c>
      <c r="C34" s="158">
        <f>1200</f>
        <v>1200</v>
      </c>
      <c r="D34" s="156" t="s">
        <v>51</v>
      </c>
      <c r="E34" s="159" t="s">
        <v>130</v>
      </c>
    </row>
    <row r="35" spans="1:5" ht="16.5" thickTop="1">
      <c r="A35" s="243">
        <v>46128</v>
      </c>
      <c r="C35" s="146" t="s">
        <v>151</v>
      </c>
      <c r="D35" s="147">
        <f>SUM(C11:C34)</f>
        <v>25550</v>
      </c>
      <c r="E35" s="87"/>
    </row>
    <row r="36" spans="1:5" ht="15.75">
      <c r="A36" s="244"/>
      <c r="B36" s="82"/>
      <c r="C36" s="106"/>
      <c r="D36" s="81"/>
      <c r="E36" s="83"/>
    </row>
    <row r="37" spans="1:5" ht="15.75">
      <c r="A37" s="81" t="s">
        <v>45</v>
      </c>
      <c r="B37" s="82">
        <v>46128</v>
      </c>
      <c r="C37" s="106">
        <v>400</v>
      </c>
      <c r="D37" s="81" t="s">
        <v>46</v>
      </c>
      <c r="E37" s="83"/>
    </row>
    <row r="38" spans="1:5" ht="15.75">
      <c r="A38" s="81" t="s">
        <v>44</v>
      </c>
      <c r="B38" s="82">
        <v>46129</v>
      </c>
      <c r="C38" s="106">
        <v>200</v>
      </c>
      <c r="D38" s="81" t="s">
        <v>44</v>
      </c>
      <c r="E38" s="83" t="s">
        <v>77</v>
      </c>
    </row>
    <row r="39" spans="1:5" ht="15.75">
      <c r="A39" s="81" t="s">
        <v>44</v>
      </c>
      <c r="B39" s="82">
        <v>46130</v>
      </c>
      <c r="C39" s="106">
        <v>200</v>
      </c>
      <c r="D39" s="81" t="s">
        <v>191</v>
      </c>
      <c r="E39" s="83" t="s">
        <v>73</v>
      </c>
    </row>
    <row r="40" spans="1:5" ht="15.75">
      <c r="A40" s="81" t="s">
        <v>47</v>
      </c>
      <c r="B40" s="82">
        <v>46130</v>
      </c>
      <c r="C40" s="106">
        <v>500</v>
      </c>
      <c r="D40" s="81" t="s">
        <v>48</v>
      </c>
      <c r="E40" s="83"/>
    </row>
    <row r="41" spans="1:5" ht="15.75">
      <c r="A41" s="81" t="s">
        <v>49</v>
      </c>
      <c r="B41" s="82">
        <v>46130</v>
      </c>
      <c r="C41" s="106">
        <v>1000</v>
      </c>
      <c r="D41" s="81" t="s">
        <v>50</v>
      </c>
      <c r="E41" s="83" t="s">
        <v>77</v>
      </c>
    </row>
    <row r="42" spans="1:5" ht="15.75">
      <c r="A42" s="81" t="s">
        <v>45</v>
      </c>
      <c r="B42" s="82">
        <v>46130</v>
      </c>
      <c r="C42" s="106">
        <v>400</v>
      </c>
      <c r="D42" s="81" t="s">
        <v>46</v>
      </c>
      <c r="E42" s="83"/>
    </row>
    <row r="43" spans="1:5" ht="15.75">
      <c r="A43" s="81" t="s">
        <v>191</v>
      </c>
      <c r="B43" s="82">
        <v>46134</v>
      </c>
      <c r="C43" s="106">
        <v>200</v>
      </c>
      <c r="D43" s="81" t="s">
        <v>44</v>
      </c>
      <c r="E43" s="83" t="s">
        <v>77</v>
      </c>
    </row>
    <row r="44" spans="1:5" ht="15.75">
      <c r="A44" s="81" t="s">
        <v>70</v>
      </c>
      <c r="B44" s="82">
        <v>46135</v>
      </c>
      <c r="C44" s="106">
        <v>200</v>
      </c>
      <c r="D44" s="81" t="s">
        <v>71</v>
      </c>
      <c r="E44" s="83" t="s">
        <v>77</v>
      </c>
    </row>
    <row r="45" spans="1:5" ht="15.75">
      <c r="A45" s="81" t="s">
        <v>126</v>
      </c>
      <c r="B45" s="82">
        <v>46135</v>
      </c>
      <c r="C45" s="106">
        <v>200</v>
      </c>
      <c r="D45" s="81" t="s">
        <v>71</v>
      </c>
      <c r="E45" s="83" t="s">
        <v>77</v>
      </c>
    </row>
    <row r="46" spans="1:5" ht="15.75">
      <c r="A46" s="81" t="s">
        <v>124</v>
      </c>
      <c r="B46" s="82">
        <v>46136</v>
      </c>
      <c r="C46" s="106">
        <v>600</v>
      </c>
      <c r="D46" s="81" t="s">
        <v>128</v>
      </c>
      <c r="E46" s="83" t="s">
        <v>77</v>
      </c>
    </row>
    <row r="47" spans="1:5" ht="15.75">
      <c r="A47" s="81" t="s">
        <v>45</v>
      </c>
      <c r="B47" s="82">
        <v>46137</v>
      </c>
      <c r="C47" s="106">
        <v>100</v>
      </c>
      <c r="D47" s="81" t="s">
        <v>46</v>
      </c>
      <c r="E47" s="83" t="s">
        <v>77</v>
      </c>
    </row>
    <row r="48" spans="1:5" ht="15.75">
      <c r="A48" s="81" t="s">
        <v>251</v>
      </c>
      <c r="B48" s="82">
        <v>46137</v>
      </c>
      <c r="C48" s="106">
        <v>200</v>
      </c>
      <c r="D48" s="81" t="s">
        <v>128</v>
      </c>
      <c r="E48" s="83" t="s">
        <v>77</v>
      </c>
    </row>
    <row r="49" spans="1:8" ht="15.75">
      <c r="A49" s="81" t="s">
        <v>44</v>
      </c>
      <c r="B49" s="82">
        <v>46139</v>
      </c>
      <c r="C49" s="106">
        <v>200</v>
      </c>
      <c r="D49" s="81" t="s">
        <v>44</v>
      </c>
      <c r="E49" s="83" t="s">
        <v>77</v>
      </c>
    </row>
    <row r="50" spans="1:8" ht="15.75">
      <c r="A50" s="204" t="s">
        <v>70</v>
      </c>
      <c r="B50" s="205">
        <v>46142</v>
      </c>
      <c r="C50" s="206">
        <f>2700-200</f>
        <v>2500</v>
      </c>
      <c r="D50" s="207" t="s">
        <v>71</v>
      </c>
      <c r="E50" s="205">
        <v>46142</v>
      </c>
    </row>
    <row r="51" spans="1:8" ht="15.75">
      <c r="A51" s="204" t="s">
        <v>44</v>
      </c>
      <c r="B51" s="205">
        <v>46142</v>
      </c>
      <c r="C51" s="206">
        <f>5000-200-200-200</f>
        <v>4400</v>
      </c>
      <c r="D51" s="204" t="s">
        <v>44</v>
      </c>
      <c r="E51" s="205">
        <v>46142</v>
      </c>
    </row>
    <row r="52" spans="1:8" ht="15.75">
      <c r="A52" s="204" t="s">
        <v>124</v>
      </c>
      <c r="B52" s="205">
        <v>46142</v>
      </c>
      <c r="C52" s="206">
        <f>2250-600</f>
        <v>1650</v>
      </c>
      <c r="D52" s="204" t="s">
        <v>128</v>
      </c>
      <c r="E52" s="205">
        <v>46142</v>
      </c>
    </row>
    <row r="53" spans="1:8" ht="15.75">
      <c r="A53" s="204" t="s">
        <v>125</v>
      </c>
      <c r="B53" s="205">
        <v>46142</v>
      </c>
      <c r="C53" s="206">
        <v>1600</v>
      </c>
      <c r="D53" s="204" t="s">
        <v>129</v>
      </c>
      <c r="E53" s="205">
        <v>46142</v>
      </c>
    </row>
    <row r="54" spans="1:8" ht="15.75">
      <c r="A54" s="204" t="s">
        <v>126</v>
      </c>
      <c r="B54" s="205">
        <v>46142</v>
      </c>
      <c r="C54" s="206">
        <f>1600-200</f>
        <v>1400</v>
      </c>
      <c r="D54" s="204" t="s">
        <v>71</v>
      </c>
      <c r="E54" s="205">
        <v>46142</v>
      </c>
    </row>
    <row r="55" spans="1:8" ht="15.75">
      <c r="A55" s="204" t="s">
        <v>127</v>
      </c>
      <c r="B55" s="205">
        <v>46142</v>
      </c>
      <c r="C55" s="206">
        <v>1500</v>
      </c>
      <c r="D55" s="204" t="s">
        <v>51</v>
      </c>
      <c r="E55" s="205">
        <v>46142</v>
      </c>
      <c r="H55">
        <f>2250/13</f>
        <v>173.07692307692307</v>
      </c>
    </row>
    <row r="56" spans="1:8" ht="15.75">
      <c r="A56" s="204" t="s">
        <v>52</v>
      </c>
      <c r="B56" s="205">
        <v>46142</v>
      </c>
      <c r="C56" s="206">
        <v>1200</v>
      </c>
      <c r="D56" s="204" t="s">
        <v>51</v>
      </c>
      <c r="E56" s="205">
        <v>46142</v>
      </c>
      <c r="H56">
        <f>173.07692*4</f>
        <v>692.30768</v>
      </c>
    </row>
    <row r="57" spans="1:8" ht="15.75">
      <c r="A57" s="204" t="s">
        <v>251</v>
      </c>
      <c r="B57" s="205">
        <v>46142</v>
      </c>
      <c r="C57" s="206">
        <v>492.3</v>
      </c>
      <c r="D57" s="207" t="s">
        <v>128</v>
      </c>
      <c r="E57" s="205">
        <v>46142</v>
      </c>
      <c r="H57">
        <f>692.3-200</f>
        <v>492.29999999999995</v>
      </c>
    </row>
    <row r="58" spans="1:8" ht="15.75">
      <c r="A58" s="86"/>
      <c r="B58" s="82"/>
      <c r="C58" s="106"/>
      <c r="D58" s="86"/>
      <c r="E58" s="82"/>
    </row>
    <row r="59" spans="1:8" ht="15.75">
      <c r="A59" s="86"/>
      <c r="B59" s="82"/>
      <c r="C59" s="106"/>
      <c r="D59" s="86"/>
      <c r="E59" s="83"/>
    </row>
    <row r="60" spans="1:8" ht="15.75">
      <c r="A60" s="81"/>
      <c r="B60" s="82"/>
      <c r="C60" s="106"/>
      <c r="D60" s="81"/>
      <c r="E60" s="83"/>
    </row>
    <row r="61" spans="1:8" ht="15.75">
      <c r="A61" s="84"/>
      <c r="B61" s="84"/>
      <c r="C61" s="108"/>
      <c r="D61" s="75"/>
      <c r="E61" s="62"/>
    </row>
    <row r="62" spans="1:8" ht="18">
      <c r="A62" s="38"/>
      <c r="B62" s="39"/>
      <c r="C62" s="242" t="s">
        <v>38</v>
      </c>
      <c r="D62" s="242"/>
      <c r="E62" s="40">
        <f>SUM(C11:C61)</f>
        <v>44692.3</v>
      </c>
    </row>
    <row r="63" spans="1:8" ht="15.75">
      <c r="A63" s="41"/>
      <c r="B63" s="42"/>
      <c r="C63" s="43"/>
      <c r="D63" s="41"/>
      <c r="E63" s="44"/>
    </row>
    <row r="64" spans="1:8" ht="15.75">
      <c r="A64" s="41"/>
      <c r="B64" s="39"/>
      <c r="C64" s="43"/>
      <c r="D64" s="41"/>
      <c r="E64" s="44"/>
      <c r="G64" s="16"/>
    </row>
    <row r="65" spans="1:10" ht="15.75">
      <c r="A65" s="41"/>
      <c r="B65" s="39"/>
      <c r="C65" s="43"/>
      <c r="D65" s="41"/>
      <c r="E65" s="44"/>
    </row>
    <row r="66" spans="1:10" ht="15.75">
      <c r="A66" s="41"/>
      <c r="B66" s="45"/>
      <c r="C66" s="43"/>
      <c r="D66" s="41"/>
      <c r="E66" s="44"/>
    </row>
    <row r="67" spans="1:10" ht="15.75">
      <c r="A67" s="41"/>
      <c r="B67" s="45"/>
      <c r="C67" s="43"/>
      <c r="D67" s="41"/>
      <c r="E67" s="44"/>
    </row>
    <row r="68" spans="1:10" ht="15.75">
      <c r="A68" s="41"/>
      <c r="B68" s="45"/>
      <c r="C68" s="43"/>
      <c r="D68" s="41"/>
      <c r="E68" s="44"/>
    </row>
    <row r="69" spans="1:10" ht="15.75">
      <c r="A69" s="46"/>
      <c r="B69" s="45"/>
      <c r="C69" s="43"/>
      <c r="D69" s="46"/>
      <c r="E69" s="44"/>
    </row>
    <row r="70" spans="1:10" ht="15.75">
      <c r="A70" s="46"/>
      <c r="B70" s="45"/>
      <c r="C70" s="43"/>
      <c r="D70" s="46"/>
      <c r="E70" s="44"/>
    </row>
    <row r="71" spans="1:10" ht="15.75">
      <c r="A71" s="46"/>
      <c r="B71" s="45"/>
      <c r="C71" s="43"/>
      <c r="D71" s="46"/>
      <c r="E71" s="44"/>
    </row>
    <row r="72" spans="1:10" ht="15.75">
      <c r="A72" s="46"/>
      <c r="B72" s="45"/>
      <c r="C72" s="43"/>
      <c r="D72" s="46"/>
      <c r="E72" s="44"/>
    </row>
    <row r="73" spans="1:10" ht="15.75">
      <c r="A73" s="46"/>
      <c r="B73" s="45"/>
      <c r="C73" s="43"/>
      <c r="D73" s="46"/>
      <c r="E73" s="44"/>
    </row>
    <row r="74" spans="1:10" ht="15.75">
      <c r="A74" s="46"/>
      <c r="B74" s="45"/>
      <c r="C74" s="43"/>
      <c r="D74" s="46"/>
      <c r="E74" s="44"/>
      <c r="J74" s="18"/>
    </row>
    <row r="75" spans="1:10" ht="15.75">
      <c r="A75" s="44"/>
      <c r="B75" s="45"/>
      <c r="C75" s="43"/>
      <c r="D75" s="46"/>
      <c r="E75" s="44"/>
      <c r="J75" s="18"/>
    </row>
    <row r="76" spans="1:10" ht="15.75">
      <c r="A76" s="44"/>
      <c r="B76" s="45"/>
      <c r="C76" s="43"/>
      <c r="D76" s="46"/>
      <c r="E76" s="44"/>
    </row>
    <row r="77" spans="1:10" ht="15.75">
      <c r="A77" s="44"/>
      <c r="B77" s="45"/>
      <c r="C77" s="43"/>
      <c r="D77" s="44"/>
      <c r="E77" s="44"/>
    </row>
    <row r="78" spans="1:10" ht="15.75">
      <c r="A78" s="44"/>
      <c r="B78" s="45"/>
      <c r="C78" s="43"/>
      <c r="D78" s="44"/>
      <c r="E78" s="44"/>
    </row>
    <row r="79" spans="1:10" ht="15.75">
      <c r="A79" s="44"/>
      <c r="B79" s="45"/>
      <c r="C79" s="43"/>
      <c r="D79" s="44"/>
      <c r="E79" s="44"/>
    </row>
    <row r="80" spans="1:10" ht="15.75">
      <c r="A80" s="44"/>
      <c r="B80" s="45"/>
      <c r="C80" s="43"/>
      <c r="D80" s="44"/>
      <c r="E80" s="44"/>
    </row>
    <row r="81" spans="1:5" ht="15.75">
      <c r="A81" s="44"/>
      <c r="B81" s="45"/>
      <c r="C81" s="43"/>
      <c r="D81" s="44"/>
      <c r="E81" s="44"/>
    </row>
    <row r="82" spans="1:5" ht="15.75">
      <c r="A82" s="44"/>
      <c r="B82" s="45"/>
      <c r="C82" s="43"/>
      <c r="D82" s="44"/>
      <c r="E82" s="44"/>
    </row>
    <row r="83" spans="1:5" ht="15.75">
      <c r="A83" s="44"/>
      <c r="B83" s="45"/>
      <c r="C83" s="43"/>
      <c r="D83" s="44"/>
      <c r="E83" s="44"/>
    </row>
    <row r="84" spans="1:5" ht="15.75">
      <c r="A84" s="44"/>
      <c r="B84" s="45"/>
      <c r="C84" s="43"/>
      <c r="D84" s="44"/>
      <c r="E84" s="44"/>
    </row>
    <row r="85" spans="1:5" ht="15.75">
      <c r="A85" s="44"/>
      <c r="B85" s="45"/>
      <c r="C85" s="43"/>
      <c r="D85" s="44"/>
      <c r="E85" s="44"/>
    </row>
    <row r="86" spans="1:5" ht="15.75">
      <c r="A86" s="44"/>
      <c r="B86" s="45"/>
      <c r="C86" s="43"/>
      <c r="D86" s="44"/>
      <c r="E86" s="44"/>
    </row>
    <row r="87" spans="1:5" ht="15.75">
      <c r="A87" s="44"/>
      <c r="B87" s="45"/>
      <c r="C87" s="43"/>
      <c r="D87" s="44"/>
      <c r="E87" s="44"/>
    </row>
    <row r="88" spans="1:5" ht="15.75">
      <c r="A88" s="44"/>
      <c r="B88" s="45"/>
      <c r="C88" s="43"/>
      <c r="D88" s="44"/>
      <c r="E88" s="44"/>
    </row>
    <row r="89" spans="1:5" ht="15.75">
      <c r="A89" s="44"/>
      <c r="B89" s="45"/>
      <c r="C89" s="43"/>
      <c r="D89" s="44"/>
      <c r="E89" s="44"/>
    </row>
    <row r="90" spans="1:5" ht="15.75">
      <c r="A90" s="4"/>
      <c r="B90" s="5"/>
      <c r="C90" s="6"/>
      <c r="D90" s="4"/>
      <c r="E90" s="4"/>
    </row>
    <row r="91" spans="1:5" ht="15.75">
      <c r="A91" s="4"/>
      <c r="B91" s="5"/>
      <c r="C91" s="6"/>
      <c r="D91" s="4"/>
      <c r="E91" s="4"/>
    </row>
    <row r="92" spans="1:5" ht="15.75">
      <c r="A92" s="4"/>
      <c r="B92" s="5"/>
      <c r="C92" s="6"/>
      <c r="D92" s="4"/>
      <c r="E92" s="4"/>
    </row>
    <row r="93" spans="1:5" ht="15.75">
      <c r="C93" s="6">
        <v>0</v>
      </c>
      <c r="E93" s="4"/>
    </row>
    <row r="94" spans="1:5" ht="15.75">
      <c r="A94" s="4"/>
      <c r="B94" s="4"/>
      <c r="C94" s="4"/>
      <c r="D94" s="2" t="s">
        <v>15</v>
      </c>
      <c r="E94" s="14">
        <f>SUM(C11:C93)</f>
        <v>44692.3</v>
      </c>
    </row>
    <row r="96" spans="1:5">
      <c r="A96" t="s">
        <v>28</v>
      </c>
    </row>
    <row r="99" spans="2:4">
      <c r="B99" s="16"/>
      <c r="D99" s="16"/>
    </row>
  </sheetData>
  <mergeCells count="5">
    <mergeCell ref="A1:E3"/>
    <mergeCell ref="A5:B5"/>
    <mergeCell ref="D5:E5"/>
    <mergeCell ref="C62:D62"/>
    <mergeCell ref="A35:A36"/>
  </mergeCells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BHN355"/>
  <sheetViews>
    <sheetView tabSelected="1" topLeftCell="A21" workbookViewId="0">
      <selection activeCell="H39" sqref="H39"/>
    </sheetView>
  </sheetViews>
  <sheetFormatPr baseColWidth="10" defaultRowHeight="15"/>
  <cols>
    <col min="1" max="1" width="22.85546875" customWidth="1"/>
    <col min="2" max="2" width="52.5703125" customWidth="1"/>
    <col min="3" max="3" width="41.7109375" customWidth="1"/>
    <col min="4" max="4" width="27.7109375" customWidth="1"/>
    <col min="5" max="5" width="22.85546875" customWidth="1"/>
    <col min="6" max="6" width="33.7109375" customWidth="1"/>
    <col min="7" max="7" width="23.140625" customWidth="1"/>
    <col min="8" max="8" width="19.85546875" customWidth="1"/>
  </cols>
  <sheetData>
    <row r="1" spans="1:8" ht="15" customHeight="1">
      <c r="B1" s="227" t="s">
        <v>0</v>
      </c>
      <c r="C1" s="227"/>
      <c r="D1" s="227"/>
      <c r="E1" s="227"/>
      <c r="F1" s="50"/>
      <c r="G1" s="50"/>
      <c r="H1" s="50"/>
    </row>
    <row r="2" spans="1:8" ht="15" customHeight="1">
      <c r="B2" s="227"/>
      <c r="C2" s="227"/>
      <c r="D2" s="227"/>
      <c r="E2" s="227"/>
      <c r="F2" s="50"/>
      <c r="G2" s="50"/>
      <c r="H2" s="50"/>
    </row>
    <row r="3" spans="1:8" ht="16.5" customHeight="1" thickBot="1">
      <c r="B3" s="246"/>
      <c r="C3" s="246"/>
      <c r="D3" s="246"/>
      <c r="E3" s="246"/>
      <c r="F3" s="50"/>
      <c r="G3" s="50"/>
      <c r="H3" s="50"/>
    </row>
    <row r="4" spans="1:8" ht="15.75" thickTop="1"/>
    <row r="5" spans="1:8" ht="15.75">
      <c r="B5" s="49" t="s">
        <v>16</v>
      </c>
      <c r="C5" s="2"/>
      <c r="D5" s="245" t="s">
        <v>2</v>
      </c>
      <c r="E5" s="245"/>
      <c r="F5" s="3"/>
    </row>
    <row r="6" spans="1:8" ht="15.75">
      <c r="B6" s="3"/>
      <c r="C6" s="3"/>
      <c r="D6" s="3"/>
      <c r="E6" s="3"/>
      <c r="F6" s="3"/>
    </row>
    <row r="7" spans="1:8" ht="15.75">
      <c r="B7" s="28" t="s">
        <v>3</v>
      </c>
      <c r="C7" s="22">
        <f>+SALAIRES!C7</f>
        <v>46113</v>
      </c>
      <c r="D7" s="28" t="s">
        <v>4</v>
      </c>
      <c r="E7" s="23">
        <f>+SALAIRES!E7</f>
        <v>46142</v>
      </c>
    </row>
    <row r="8" spans="1:8" ht="15.75">
      <c r="B8" s="3"/>
      <c r="C8" s="3"/>
      <c r="D8" s="3"/>
      <c r="E8" s="3"/>
      <c r="F8" s="3"/>
      <c r="G8">
        <v>1</v>
      </c>
    </row>
    <row r="9" spans="1:8" ht="10.5" customHeight="1"/>
    <row r="10" spans="1:8" hidden="1"/>
    <row r="11" spans="1:8" hidden="1"/>
    <row r="12" spans="1:8" s="24" customFormat="1" ht="26.25" customHeight="1">
      <c r="A12" s="51" t="s">
        <v>35</v>
      </c>
      <c r="B12" s="52" t="s">
        <v>17</v>
      </c>
      <c r="C12" s="52" t="s">
        <v>21</v>
      </c>
      <c r="D12" s="51" t="s">
        <v>18</v>
      </c>
      <c r="E12" s="51" t="s">
        <v>19</v>
      </c>
      <c r="F12" s="92" t="s">
        <v>20</v>
      </c>
      <c r="G12" s="97" t="s">
        <v>41</v>
      </c>
      <c r="H12" s="178" t="s">
        <v>213</v>
      </c>
    </row>
    <row r="13" spans="1:8">
      <c r="A13" s="65" t="s">
        <v>58</v>
      </c>
      <c r="B13" s="57" t="s">
        <v>59</v>
      </c>
      <c r="C13" s="57" t="s">
        <v>69</v>
      </c>
      <c r="D13" s="58">
        <v>2700</v>
      </c>
      <c r="E13" s="58">
        <v>2700</v>
      </c>
      <c r="F13" s="93">
        <f>+D13-E13</f>
        <v>0</v>
      </c>
      <c r="G13" s="98"/>
      <c r="H13" s="98"/>
    </row>
    <row r="14" spans="1:8">
      <c r="A14" s="65" t="s">
        <v>58</v>
      </c>
      <c r="B14" s="57" t="s">
        <v>75</v>
      </c>
      <c r="C14" s="57" t="s">
        <v>76</v>
      </c>
      <c r="D14" s="58">
        <v>2000</v>
      </c>
      <c r="E14" s="58">
        <v>2000</v>
      </c>
      <c r="F14" s="93">
        <f t="shared" ref="F14:F50" si="0">+D14-E14</f>
        <v>0</v>
      </c>
      <c r="G14" s="99"/>
      <c r="H14" s="98"/>
    </row>
    <row r="15" spans="1:8">
      <c r="A15" s="169" t="s">
        <v>78</v>
      </c>
      <c r="B15" s="115" t="s">
        <v>87</v>
      </c>
      <c r="C15" s="115" t="s">
        <v>114</v>
      </c>
      <c r="D15" s="116">
        <v>8182</v>
      </c>
      <c r="E15" s="116"/>
      <c r="F15" s="117">
        <f t="shared" si="0"/>
        <v>8182</v>
      </c>
      <c r="G15" s="190"/>
      <c r="H15" s="185"/>
    </row>
    <row r="16" spans="1:8">
      <c r="A16" s="170" t="s">
        <v>80</v>
      </c>
      <c r="B16" s="166" t="s">
        <v>86</v>
      </c>
      <c r="C16" s="166" t="s">
        <v>81</v>
      </c>
      <c r="D16" s="167">
        <v>4068</v>
      </c>
      <c r="E16" s="167"/>
      <c r="F16" s="168">
        <f t="shared" si="0"/>
        <v>4068</v>
      </c>
      <c r="G16" s="180"/>
      <c r="H16" s="180"/>
    </row>
    <row r="17" spans="1:8">
      <c r="A17" s="171" t="s">
        <v>82</v>
      </c>
      <c r="B17" s="160" t="s">
        <v>256</v>
      </c>
      <c r="C17" s="160" t="s">
        <v>84</v>
      </c>
      <c r="D17" s="161">
        <v>3456</v>
      </c>
      <c r="E17" s="161"/>
      <c r="F17" s="162">
        <f t="shared" si="0"/>
        <v>3456</v>
      </c>
      <c r="G17" s="187"/>
      <c r="H17" s="187"/>
    </row>
    <row r="18" spans="1:8">
      <c r="A18" s="171" t="s">
        <v>83</v>
      </c>
      <c r="B18" s="160" t="s">
        <v>88</v>
      </c>
      <c r="C18" s="160" t="s">
        <v>90</v>
      </c>
      <c r="D18" s="161">
        <v>1610</v>
      </c>
      <c r="E18" s="161"/>
      <c r="F18" s="162">
        <f t="shared" si="0"/>
        <v>1610</v>
      </c>
      <c r="G18" s="187"/>
      <c r="H18" s="187"/>
    </row>
    <row r="19" spans="1:8">
      <c r="A19" s="169" t="s">
        <v>85</v>
      </c>
      <c r="B19" s="115" t="s">
        <v>89</v>
      </c>
      <c r="C19" s="115" t="s">
        <v>120</v>
      </c>
      <c r="D19" s="116">
        <v>9877.2000000000007</v>
      </c>
      <c r="E19" s="116"/>
      <c r="F19" s="117">
        <f t="shared" si="0"/>
        <v>9877.2000000000007</v>
      </c>
      <c r="G19" s="185"/>
      <c r="H19" s="185"/>
    </row>
    <row r="20" spans="1:8">
      <c r="A20" s="169" t="s">
        <v>143</v>
      </c>
      <c r="B20" s="115" t="s">
        <v>89</v>
      </c>
      <c r="C20" s="115" t="s">
        <v>120</v>
      </c>
      <c r="D20" s="116">
        <v>9688.7999999999993</v>
      </c>
      <c r="E20" s="116"/>
      <c r="F20" s="117">
        <f t="shared" si="0"/>
        <v>9688.7999999999993</v>
      </c>
      <c r="G20" s="185"/>
      <c r="H20" s="185"/>
    </row>
    <row r="21" spans="1:8">
      <c r="A21" s="172" t="s">
        <v>58</v>
      </c>
      <c r="B21" s="101" t="s">
        <v>131</v>
      </c>
      <c r="C21" s="139" t="s">
        <v>144</v>
      </c>
      <c r="D21" s="102"/>
      <c r="E21" s="102"/>
      <c r="F21" s="93">
        <f t="shared" si="0"/>
        <v>0</v>
      </c>
      <c r="G21" s="98"/>
      <c r="H21" s="98"/>
    </row>
    <row r="22" spans="1:8">
      <c r="A22" s="173" t="s">
        <v>134</v>
      </c>
      <c r="B22" s="163" t="s">
        <v>132</v>
      </c>
      <c r="C22" s="163" t="s">
        <v>133</v>
      </c>
      <c r="D22" s="164">
        <v>1920</v>
      </c>
      <c r="E22" s="164"/>
      <c r="F22" s="165">
        <f t="shared" si="0"/>
        <v>1920</v>
      </c>
      <c r="G22" s="186"/>
      <c r="H22" s="186"/>
    </row>
    <row r="23" spans="1:8">
      <c r="A23" s="169" t="s">
        <v>142</v>
      </c>
      <c r="B23" s="115" t="s">
        <v>89</v>
      </c>
      <c r="C23" s="115" t="s">
        <v>135</v>
      </c>
      <c r="D23" s="116">
        <v>1200</v>
      </c>
      <c r="E23" s="116"/>
      <c r="F23" s="117">
        <f t="shared" si="0"/>
        <v>1200</v>
      </c>
      <c r="G23" s="185"/>
      <c r="H23" s="185"/>
    </row>
    <row r="24" spans="1:8">
      <c r="A24" s="170" t="s">
        <v>145</v>
      </c>
      <c r="B24" s="166" t="s">
        <v>138</v>
      </c>
      <c r="C24" s="166" t="s">
        <v>137</v>
      </c>
      <c r="D24" s="167">
        <v>1536</v>
      </c>
      <c r="E24" s="167"/>
      <c r="F24" s="168">
        <f t="shared" si="0"/>
        <v>1536</v>
      </c>
      <c r="G24" s="180" t="s">
        <v>146</v>
      </c>
      <c r="H24" s="180"/>
    </row>
    <row r="25" spans="1:8">
      <c r="A25" s="171" t="s">
        <v>139</v>
      </c>
      <c r="B25" s="160" t="s">
        <v>140</v>
      </c>
      <c r="C25" s="160" t="s">
        <v>141</v>
      </c>
      <c r="D25" s="161">
        <v>2160</v>
      </c>
      <c r="E25" s="161"/>
      <c r="F25" s="162">
        <f t="shared" si="0"/>
        <v>2160</v>
      </c>
      <c r="G25" s="187"/>
      <c r="H25" s="187"/>
    </row>
    <row r="26" spans="1:8">
      <c r="A26" s="172" t="s">
        <v>58</v>
      </c>
      <c r="B26" s="101" t="s">
        <v>147</v>
      </c>
      <c r="C26" s="101" t="s">
        <v>148</v>
      </c>
      <c r="D26" s="102">
        <v>1000</v>
      </c>
      <c r="E26" s="102">
        <v>1000</v>
      </c>
      <c r="F26" s="93">
        <f t="shared" si="0"/>
        <v>0</v>
      </c>
      <c r="G26" s="98"/>
      <c r="H26" s="98"/>
    </row>
    <row r="27" spans="1:8">
      <c r="A27" s="172" t="s">
        <v>58</v>
      </c>
      <c r="B27" s="101" t="s">
        <v>131</v>
      </c>
      <c r="C27" s="101" t="s">
        <v>150</v>
      </c>
      <c r="D27" s="102"/>
      <c r="E27" s="102"/>
      <c r="F27" s="93">
        <f t="shared" si="0"/>
        <v>0</v>
      </c>
      <c r="G27" s="98"/>
      <c r="H27" s="98"/>
    </row>
    <row r="28" spans="1:8">
      <c r="A28" s="171" t="s">
        <v>152</v>
      </c>
      <c r="B28" s="160" t="s">
        <v>161</v>
      </c>
      <c r="C28" s="160" t="s">
        <v>154</v>
      </c>
      <c r="D28" s="161">
        <v>3956</v>
      </c>
      <c r="E28" s="161"/>
      <c r="F28" s="162">
        <f t="shared" si="0"/>
        <v>3956</v>
      </c>
      <c r="G28" s="187"/>
      <c r="H28" s="187"/>
    </row>
    <row r="29" spans="1:8">
      <c r="A29" s="169" t="s">
        <v>156</v>
      </c>
      <c r="B29" s="115" t="s">
        <v>160</v>
      </c>
      <c r="C29" s="115" t="s">
        <v>155</v>
      </c>
      <c r="D29" s="116">
        <v>900</v>
      </c>
      <c r="E29" s="116"/>
      <c r="F29" s="117">
        <f t="shared" si="0"/>
        <v>900</v>
      </c>
      <c r="G29" s="185"/>
      <c r="H29" s="185"/>
    </row>
    <row r="30" spans="1:8">
      <c r="A30" s="169" t="s">
        <v>212</v>
      </c>
      <c r="B30" s="115" t="s">
        <v>118</v>
      </c>
      <c r="C30" s="115" t="s">
        <v>201</v>
      </c>
      <c r="D30" s="116">
        <v>9960</v>
      </c>
      <c r="E30" s="116"/>
      <c r="F30" s="117"/>
      <c r="G30" s="185"/>
      <c r="H30" s="185" t="s">
        <v>214</v>
      </c>
    </row>
    <row r="31" spans="1:8">
      <c r="A31" s="171" t="s">
        <v>182</v>
      </c>
      <c r="B31" s="160" t="s">
        <v>180</v>
      </c>
      <c r="C31" s="160" t="s">
        <v>181</v>
      </c>
      <c r="D31" s="161">
        <v>9943.2000000000007</v>
      </c>
      <c r="E31" s="161"/>
      <c r="F31" s="162">
        <f t="shared" si="0"/>
        <v>9943.2000000000007</v>
      </c>
      <c r="G31" s="187"/>
      <c r="H31" s="187"/>
    </row>
    <row r="32" spans="1:8">
      <c r="A32" s="172" t="s">
        <v>58</v>
      </c>
      <c r="B32" s="101" t="s">
        <v>184</v>
      </c>
      <c r="C32" s="101" t="s">
        <v>183</v>
      </c>
      <c r="D32" s="102">
        <v>6000</v>
      </c>
      <c r="E32" s="102">
        <v>6000</v>
      </c>
      <c r="F32" s="93">
        <f t="shared" si="0"/>
        <v>0</v>
      </c>
      <c r="G32" s="98"/>
      <c r="H32" s="179"/>
    </row>
    <row r="33" spans="1:1574">
      <c r="A33" s="169" t="s">
        <v>185</v>
      </c>
      <c r="B33" s="115" t="s">
        <v>186</v>
      </c>
      <c r="C33" s="115" t="s">
        <v>187</v>
      </c>
      <c r="D33" s="116">
        <v>6633</v>
      </c>
      <c r="E33" s="116"/>
      <c r="F33" s="117">
        <f t="shared" si="0"/>
        <v>6633</v>
      </c>
      <c r="G33" s="185"/>
      <c r="H33" s="185"/>
    </row>
    <row r="34" spans="1:1574">
      <c r="A34" s="172" t="s">
        <v>58</v>
      </c>
      <c r="B34" s="101" t="s">
        <v>189</v>
      </c>
      <c r="C34" s="101" t="s">
        <v>190</v>
      </c>
      <c r="D34" s="102">
        <v>1000</v>
      </c>
      <c r="E34" s="102">
        <v>1000</v>
      </c>
      <c r="F34" s="93">
        <f t="shared" si="0"/>
        <v>0</v>
      </c>
      <c r="G34" s="98"/>
      <c r="H34" s="98"/>
    </row>
    <row r="35" spans="1:1574" s="91" customFormat="1">
      <c r="A35" s="169" t="s">
        <v>193</v>
      </c>
      <c r="B35" s="115" t="s">
        <v>89</v>
      </c>
      <c r="C35" s="115" t="s">
        <v>120</v>
      </c>
      <c r="D35" s="116">
        <v>7200</v>
      </c>
      <c r="E35" s="116"/>
      <c r="F35" s="117">
        <f t="shared" si="0"/>
        <v>7200</v>
      </c>
      <c r="G35" s="185"/>
      <c r="H35" s="18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</row>
    <row r="36" spans="1:1574">
      <c r="A36" s="169" t="s">
        <v>198</v>
      </c>
      <c r="B36" s="115" t="s">
        <v>199</v>
      </c>
      <c r="C36" s="115" t="s">
        <v>200</v>
      </c>
      <c r="D36" s="116">
        <v>1968</v>
      </c>
      <c r="E36" s="116"/>
      <c r="F36" s="117">
        <f t="shared" si="0"/>
        <v>1968</v>
      </c>
      <c r="G36" s="185"/>
      <c r="H36" s="185"/>
    </row>
    <row r="37" spans="1:1574">
      <c r="A37" s="188" t="s">
        <v>239</v>
      </c>
      <c r="B37" s="181" t="s">
        <v>208</v>
      </c>
      <c r="C37" s="181" t="s">
        <v>209</v>
      </c>
      <c r="D37" s="182">
        <v>4325</v>
      </c>
      <c r="E37" s="182"/>
      <c r="F37" s="183">
        <f t="shared" si="0"/>
        <v>4325</v>
      </c>
      <c r="G37" s="184"/>
      <c r="H37" s="184" t="s">
        <v>211</v>
      </c>
    </row>
    <row r="38" spans="1:1574">
      <c r="A38" s="189" t="s">
        <v>215</v>
      </c>
      <c r="B38" s="160" t="s">
        <v>265</v>
      </c>
      <c r="C38" s="160" t="s">
        <v>263</v>
      </c>
      <c r="D38" s="161">
        <v>9962</v>
      </c>
      <c r="E38" s="161"/>
      <c r="F38" s="162">
        <f t="shared" si="0"/>
        <v>9962</v>
      </c>
      <c r="G38" s="187"/>
      <c r="H38" s="187" t="s">
        <v>266</v>
      </c>
    </row>
    <row r="39" spans="1:1574">
      <c r="A39" s="189" t="s">
        <v>216</v>
      </c>
      <c r="B39" s="160" t="s">
        <v>222</v>
      </c>
      <c r="C39" s="160" t="s">
        <v>218</v>
      </c>
      <c r="D39" s="161">
        <v>8380</v>
      </c>
      <c r="E39" s="161"/>
      <c r="F39" s="162">
        <f t="shared" si="0"/>
        <v>8380</v>
      </c>
      <c r="G39" s="187"/>
      <c r="H39" s="187" t="s">
        <v>219</v>
      </c>
    </row>
    <row r="40" spans="1:1574">
      <c r="A40" s="189" t="s">
        <v>217</v>
      </c>
      <c r="B40" s="160" t="s">
        <v>223</v>
      </c>
      <c r="C40" s="160" t="s">
        <v>220</v>
      </c>
      <c r="D40" s="161">
        <v>8380</v>
      </c>
      <c r="E40" s="187"/>
      <c r="F40" s="162">
        <f t="shared" si="0"/>
        <v>8380</v>
      </c>
      <c r="G40" s="187"/>
      <c r="H40" s="187" t="s">
        <v>221</v>
      </c>
    </row>
    <row r="41" spans="1:1574">
      <c r="A41" s="189" t="s">
        <v>224</v>
      </c>
      <c r="B41" s="160" t="s">
        <v>161</v>
      </c>
      <c r="C41" s="160" t="s">
        <v>225</v>
      </c>
      <c r="D41" s="161">
        <v>8380</v>
      </c>
      <c r="E41" s="161"/>
      <c r="F41" s="162">
        <f t="shared" si="0"/>
        <v>8380</v>
      </c>
      <c r="G41" s="187"/>
      <c r="H41" s="187" t="s">
        <v>226</v>
      </c>
    </row>
    <row r="42" spans="1:1574">
      <c r="A42" s="192" t="s">
        <v>58</v>
      </c>
      <c r="B42" s="193" t="s">
        <v>232</v>
      </c>
      <c r="C42" s="193" t="s">
        <v>233</v>
      </c>
      <c r="D42" s="102"/>
      <c r="E42" s="102"/>
      <c r="F42" s="195">
        <f t="shared" si="0"/>
        <v>0</v>
      </c>
      <c r="G42" s="194"/>
      <c r="H42" s="194"/>
    </row>
    <row r="43" spans="1:1574">
      <c r="A43" s="196" t="s">
        <v>235</v>
      </c>
      <c r="B43" s="197" t="s">
        <v>237</v>
      </c>
      <c r="C43" s="197" t="s">
        <v>234</v>
      </c>
      <c r="D43" s="198">
        <v>1896</v>
      </c>
      <c r="E43" s="198"/>
      <c r="F43" s="199">
        <f t="shared" si="0"/>
        <v>1896</v>
      </c>
      <c r="G43" s="200"/>
      <c r="H43" s="200">
        <v>471884</v>
      </c>
    </row>
    <row r="44" spans="1:1574">
      <c r="A44" s="189" t="s">
        <v>236</v>
      </c>
      <c r="B44" s="160" t="s">
        <v>161</v>
      </c>
      <c r="C44" s="160" t="s">
        <v>241</v>
      </c>
      <c r="D44" s="161">
        <v>8380</v>
      </c>
      <c r="E44" s="161"/>
      <c r="F44" s="162">
        <f t="shared" si="0"/>
        <v>8380</v>
      </c>
      <c r="G44" s="187"/>
      <c r="H44" s="187">
        <v>100980</v>
      </c>
    </row>
    <row r="45" spans="1:1574">
      <c r="A45" s="189" t="s">
        <v>240</v>
      </c>
      <c r="B45" s="160" t="s">
        <v>140</v>
      </c>
      <c r="C45" s="160" t="s">
        <v>238</v>
      </c>
      <c r="D45" s="161">
        <v>8380</v>
      </c>
      <c r="E45" s="161"/>
      <c r="F45" s="162">
        <f t="shared" si="0"/>
        <v>8380</v>
      </c>
      <c r="G45" s="187"/>
      <c r="H45" s="187">
        <v>210831</v>
      </c>
    </row>
    <row r="46" spans="1:1574">
      <c r="A46" s="192" t="s">
        <v>247</v>
      </c>
      <c r="B46" s="193" t="s">
        <v>245</v>
      </c>
      <c r="C46" s="193" t="s">
        <v>246</v>
      </c>
      <c r="D46" s="102"/>
      <c r="E46" s="102"/>
      <c r="F46" s="195">
        <f t="shared" si="0"/>
        <v>0</v>
      </c>
      <c r="G46" s="194"/>
      <c r="H46" s="194"/>
    </row>
    <row r="47" spans="1:1574">
      <c r="A47" s="189" t="s">
        <v>248</v>
      </c>
      <c r="B47" s="160" t="s">
        <v>161</v>
      </c>
      <c r="C47" s="160" t="s">
        <v>241</v>
      </c>
      <c r="D47" s="161">
        <v>3747</v>
      </c>
      <c r="E47" s="161"/>
      <c r="F47" s="162">
        <f t="shared" si="0"/>
        <v>3747</v>
      </c>
      <c r="G47" s="187"/>
      <c r="H47" s="202" t="s">
        <v>249</v>
      </c>
    </row>
    <row r="48" spans="1:1574">
      <c r="A48" s="189" t="s">
        <v>252</v>
      </c>
      <c r="B48" s="160" t="s">
        <v>140</v>
      </c>
      <c r="C48" s="160" t="s">
        <v>238</v>
      </c>
      <c r="D48" s="161">
        <v>19290</v>
      </c>
      <c r="E48" s="161"/>
      <c r="F48" s="162">
        <f t="shared" si="0"/>
        <v>19290</v>
      </c>
      <c r="G48" s="187"/>
      <c r="H48" s="202"/>
    </row>
    <row r="49" spans="1:8">
      <c r="A49" s="192" t="s">
        <v>58</v>
      </c>
      <c r="B49" s="193" t="s">
        <v>254</v>
      </c>
      <c r="C49" s="193" t="s">
        <v>255</v>
      </c>
      <c r="D49" s="102"/>
      <c r="E49" s="102"/>
      <c r="F49" s="195">
        <f t="shared" si="0"/>
        <v>0</v>
      </c>
      <c r="G49" s="194"/>
      <c r="H49" s="203"/>
    </row>
    <row r="50" spans="1:8">
      <c r="A50" s="208" t="s">
        <v>253</v>
      </c>
      <c r="B50" s="115" t="s">
        <v>257</v>
      </c>
      <c r="C50" s="115" t="s">
        <v>187</v>
      </c>
      <c r="D50" s="116"/>
      <c r="E50" s="116"/>
      <c r="F50" s="117">
        <f t="shared" si="0"/>
        <v>0</v>
      </c>
      <c r="G50" s="185"/>
      <c r="H50" s="209" t="s">
        <v>258</v>
      </c>
    </row>
    <row r="51" spans="1:8">
      <c r="A51" s="192" t="s">
        <v>264</v>
      </c>
      <c r="B51" s="193" t="s">
        <v>184</v>
      </c>
      <c r="C51" s="193" t="s">
        <v>263</v>
      </c>
      <c r="D51" s="102"/>
      <c r="E51" s="102"/>
      <c r="F51" s="195"/>
      <c r="G51" s="194"/>
      <c r="H51" s="203">
        <v>236.9</v>
      </c>
    </row>
    <row r="52" spans="1:8">
      <c r="A52" s="192"/>
      <c r="B52" s="193"/>
      <c r="C52" s="193"/>
      <c r="D52" s="102"/>
      <c r="E52" s="102"/>
      <c r="F52" s="195"/>
      <c r="G52" s="194"/>
      <c r="H52" s="203"/>
    </row>
    <row r="53" spans="1:8">
      <c r="A53" s="192"/>
      <c r="B53" s="193"/>
      <c r="C53" s="193"/>
      <c r="D53" s="102"/>
      <c r="E53" s="102"/>
      <c r="F53" s="195"/>
      <c r="G53" s="194"/>
      <c r="H53" s="203"/>
    </row>
    <row r="54" spans="1:8">
      <c r="A54" s="192"/>
      <c r="B54" s="193"/>
      <c r="C54" s="193"/>
      <c r="D54" s="102"/>
      <c r="E54" s="102"/>
      <c r="F54" s="195"/>
      <c r="G54" s="194"/>
      <c r="H54" s="203"/>
    </row>
    <row r="55" spans="1:8">
      <c r="A55" s="192"/>
      <c r="B55" s="193"/>
      <c r="C55" s="193"/>
      <c r="D55" s="102"/>
      <c r="E55" s="102"/>
      <c r="F55" s="195"/>
      <c r="G55" s="194"/>
      <c r="H55" s="203"/>
    </row>
    <row r="56" spans="1:8">
      <c r="A56" s="192"/>
      <c r="B56" s="193"/>
      <c r="C56" s="193"/>
      <c r="D56" s="102"/>
      <c r="E56" s="102"/>
      <c r="F56" s="195"/>
      <c r="G56" s="194"/>
      <c r="H56" s="203"/>
    </row>
    <row r="57" spans="1:8" ht="17.25">
      <c r="A57" s="66"/>
      <c r="B57" s="57"/>
      <c r="C57" s="88" t="s">
        <v>40</v>
      </c>
      <c r="D57" s="90">
        <f>SUM(D13:D50)</f>
        <v>178078.2</v>
      </c>
      <c r="E57" s="89">
        <f>SUM(E13:E47)</f>
        <v>12700</v>
      </c>
      <c r="F57" s="93">
        <f t="shared" ref="F57:F60" si="1">+D57-E57</f>
        <v>165378.20000000001</v>
      </c>
      <c r="G57" s="98"/>
      <c r="H57" s="98"/>
    </row>
    <row r="58" spans="1:8">
      <c r="A58" s="66"/>
      <c r="B58" s="57"/>
      <c r="C58" s="57"/>
      <c r="D58" s="58"/>
      <c r="E58" s="58"/>
      <c r="F58" s="93">
        <f t="shared" si="1"/>
        <v>0</v>
      </c>
      <c r="G58" s="98"/>
      <c r="H58" s="98"/>
    </row>
    <row r="59" spans="1:8">
      <c r="A59" s="66"/>
      <c r="B59" s="57"/>
      <c r="C59" s="62"/>
      <c r="D59" s="62"/>
      <c r="E59" s="58"/>
      <c r="F59" s="93">
        <f t="shared" si="1"/>
        <v>0</v>
      </c>
      <c r="G59" s="98"/>
      <c r="H59" s="98"/>
    </row>
    <row r="60" spans="1:8" s="21" customFormat="1" ht="18.75">
      <c r="A60" s="67"/>
      <c r="B60" s="68"/>
      <c r="C60" s="69"/>
      <c r="D60" s="70"/>
      <c r="E60" s="71"/>
      <c r="F60" s="93">
        <f t="shared" si="1"/>
        <v>0</v>
      </c>
      <c r="G60" s="96"/>
      <c r="H60" s="96"/>
    </row>
    <row r="61" spans="1:8">
      <c r="A61" s="66"/>
      <c r="B61" s="57"/>
      <c r="C61" s="57"/>
      <c r="D61" s="58"/>
      <c r="E61" s="72"/>
      <c r="F61" s="93">
        <f t="shared" ref="F61:F69" si="2">+D61-E61</f>
        <v>0</v>
      </c>
      <c r="G61" s="98"/>
      <c r="H61" s="95"/>
    </row>
    <row r="62" spans="1:8">
      <c r="A62" s="66"/>
      <c r="B62" s="57"/>
      <c r="C62" s="57"/>
      <c r="D62" s="59"/>
      <c r="E62" s="63"/>
      <c r="F62" s="93">
        <f t="shared" si="2"/>
        <v>0</v>
      </c>
      <c r="G62" s="98"/>
      <c r="H62" s="95"/>
    </row>
    <row r="63" spans="1:8">
      <c r="A63" s="66"/>
      <c r="B63" s="57"/>
      <c r="C63" s="57"/>
      <c r="D63" s="59"/>
      <c r="E63" s="64"/>
      <c r="F63" s="93">
        <f t="shared" si="2"/>
        <v>0</v>
      </c>
      <c r="G63" s="98"/>
      <c r="H63" s="95"/>
    </row>
    <row r="64" spans="1:8">
      <c r="A64" s="66"/>
      <c r="B64" s="57"/>
      <c r="C64" s="57"/>
      <c r="D64" s="59"/>
      <c r="E64" s="64"/>
      <c r="F64" s="93">
        <f t="shared" si="2"/>
        <v>0</v>
      </c>
      <c r="G64" s="98"/>
      <c r="H64" s="95"/>
    </row>
    <row r="65" spans="1:7">
      <c r="A65" s="66"/>
      <c r="B65" s="57"/>
      <c r="C65" s="57"/>
      <c r="D65" s="59"/>
      <c r="E65" s="64"/>
      <c r="F65" s="93">
        <f t="shared" si="2"/>
        <v>0</v>
      </c>
      <c r="G65" s="98"/>
    </row>
    <row r="66" spans="1:7">
      <c r="A66" s="66"/>
      <c r="B66" s="57"/>
      <c r="C66" s="57"/>
      <c r="D66" s="59"/>
      <c r="E66" s="63"/>
      <c r="F66" s="93">
        <f t="shared" si="2"/>
        <v>0</v>
      </c>
      <c r="G66" s="98"/>
    </row>
    <row r="67" spans="1:7">
      <c r="A67" s="66"/>
      <c r="B67" s="57"/>
      <c r="C67" s="57"/>
      <c r="D67" s="59"/>
      <c r="E67" s="64"/>
      <c r="F67" s="93">
        <f t="shared" si="2"/>
        <v>0</v>
      </c>
      <c r="G67" s="98"/>
    </row>
    <row r="68" spans="1:7">
      <c r="A68" s="66"/>
      <c r="B68" s="57"/>
      <c r="C68" s="57"/>
      <c r="D68" s="59"/>
      <c r="E68" s="64"/>
      <c r="F68" s="93">
        <f t="shared" si="2"/>
        <v>0</v>
      </c>
      <c r="G68" s="98"/>
    </row>
    <row r="69" spans="1:7">
      <c r="A69" s="66"/>
      <c r="B69" s="57"/>
      <c r="C69" s="57"/>
      <c r="D69" s="59"/>
      <c r="E69" s="64"/>
      <c r="F69" s="93">
        <f t="shared" si="2"/>
        <v>0</v>
      </c>
      <c r="G69" s="98"/>
    </row>
    <row r="70" spans="1:7">
      <c r="A70" s="66"/>
      <c r="B70" s="57"/>
      <c r="C70" s="57"/>
      <c r="D70" s="62"/>
      <c r="E70" s="64"/>
      <c r="F70" s="94"/>
      <c r="G70" s="98"/>
    </row>
    <row r="71" spans="1:7">
      <c r="A71" s="66"/>
      <c r="B71" s="57"/>
      <c r="C71" s="57"/>
      <c r="D71" s="62"/>
      <c r="E71" s="64"/>
      <c r="F71" s="94"/>
      <c r="G71" s="95"/>
    </row>
    <row r="72" spans="1:7">
      <c r="A72" s="73"/>
      <c r="B72" s="57"/>
      <c r="C72" s="57"/>
      <c r="D72" s="62"/>
      <c r="E72" s="64"/>
      <c r="F72" s="94"/>
      <c r="G72" s="95"/>
    </row>
    <row r="73" spans="1:7">
      <c r="A73" s="73"/>
      <c r="B73" s="62"/>
      <c r="C73" s="62"/>
      <c r="D73" s="62"/>
      <c r="E73" s="64"/>
      <c r="F73" s="94"/>
      <c r="G73" s="95"/>
    </row>
    <row r="74" spans="1:7">
      <c r="A74" s="74"/>
      <c r="B74" s="62"/>
      <c r="C74" s="62"/>
      <c r="D74" s="62"/>
      <c r="E74" s="64"/>
      <c r="F74" s="94"/>
      <c r="G74" s="95"/>
    </row>
    <row r="75" spans="1:7">
      <c r="A75" s="74"/>
      <c r="B75" s="62"/>
      <c r="C75" s="62"/>
      <c r="D75" s="62"/>
      <c r="E75" s="64"/>
      <c r="F75" s="94"/>
      <c r="G75" s="95"/>
    </row>
    <row r="76" spans="1:7">
      <c r="A76" s="74"/>
      <c r="B76" s="62"/>
      <c r="C76" s="62"/>
      <c r="D76" s="62"/>
      <c r="E76" s="64"/>
      <c r="F76" s="94"/>
      <c r="G76" s="95"/>
    </row>
    <row r="77" spans="1:7">
      <c r="A77" s="74"/>
      <c r="B77" s="62"/>
      <c r="C77" s="62"/>
      <c r="D77" s="62"/>
      <c r="E77" s="64"/>
      <c r="F77" s="94"/>
      <c r="G77" s="95"/>
    </row>
    <row r="78" spans="1:7">
      <c r="A78" s="74"/>
      <c r="B78" s="62"/>
      <c r="C78" s="62"/>
      <c r="D78" s="62"/>
      <c r="E78" s="64"/>
      <c r="F78" s="94"/>
      <c r="G78" s="95"/>
    </row>
    <row r="79" spans="1:7">
      <c r="A79" s="74"/>
      <c r="B79" s="62"/>
      <c r="C79" s="62"/>
      <c r="D79" s="62"/>
      <c r="E79" s="64"/>
      <c r="F79" s="94"/>
      <c r="G79" s="95"/>
    </row>
    <row r="80" spans="1:7">
      <c r="A80" s="74"/>
      <c r="B80" s="62"/>
      <c r="C80" s="62"/>
      <c r="D80" s="62"/>
      <c r="E80" s="64"/>
      <c r="F80" s="94"/>
      <c r="G80" s="95"/>
    </row>
    <row r="81" spans="1:7">
      <c r="A81" s="74"/>
      <c r="B81" s="62"/>
      <c r="C81" s="62"/>
      <c r="D81" s="62"/>
      <c r="E81" s="64"/>
      <c r="F81" s="94"/>
      <c r="G81" s="95"/>
    </row>
    <row r="82" spans="1:7">
      <c r="A82" s="74"/>
      <c r="B82" s="62"/>
      <c r="C82" s="62"/>
      <c r="D82" s="62"/>
      <c r="E82" s="64"/>
      <c r="F82" s="94"/>
      <c r="G82" s="95"/>
    </row>
    <row r="83" spans="1:7">
      <c r="A83" s="74"/>
      <c r="B83" s="62"/>
      <c r="C83" s="62"/>
      <c r="D83" s="62"/>
      <c r="E83" s="64"/>
      <c r="F83" s="94"/>
      <c r="G83" s="95"/>
    </row>
    <row r="84" spans="1:7">
      <c r="A84" s="74"/>
      <c r="B84" s="62"/>
      <c r="C84" s="62"/>
      <c r="D84" s="62"/>
      <c r="E84" s="64"/>
      <c r="F84" s="94"/>
      <c r="G84" s="95"/>
    </row>
    <row r="85" spans="1:7">
      <c r="A85" s="74"/>
      <c r="B85" s="62"/>
      <c r="C85" s="62"/>
      <c r="D85" s="62"/>
      <c r="E85" s="64"/>
      <c r="F85" s="94"/>
      <c r="G85" s="95"/>
    </row>
    <row r="86" spans="1:7">
      <c r="A86" s="74"/>
      <c r="B86" s="62"/>
      <c r="C86" s="62"/>
      <c r="D86" s="62"/>
      <c r="E86" s="64"/>
      <c r="F86" s="94"/>
      <c r="G86" s="95"/>
    </row>
    <row r="87" spans="1:7">
      <c r="A87" s="74"/>
      <c r="B87" s="62"/>
      <c r="C87" s="62"/>
      <c r="D87" s="62"/>
      <c r="E87" s="64"/>
      <c r="F87" s="94"/>
      <c r="G87" s="95"/>
    </row>
    <row r="88" spans="1:7">
      <c r="A88" s="74"/>
      <c r="B88" s="62"/>
      <c r="C88" s="62"/>
      <c r="D88" s="62"/>
      <c r="E88" s="64"/>
      <c r="F88" s="94"/>
      <c r="G88" s="95"/>
    </row>
    <row r="89" spans="1:7">
      <c r="A89" s="74"/>
      <c r="B89" s="62"/>
      <c r="C89" s="62"/>
      <c r="D89" s="62"/>
      <c r="E89" s="64"/>
      <c r="F89" s="94"/>
      <c r="G89" s="95"/>
    </row>
    <row r="90" spans="1:7">
      <c r="A90" s="74"/>
      <c r="B90" s="62"/>
      <c r="C90" s="62"/>
      <c r="D90" s="62"/>
      <c r="E90" s="64"/>
      <c r="F90" s="94"/>
      <c r="G90" s="95"/>
    </row>
    <row r="91" spans="1:7">
      <c r="A91" s="74"/>
      <c r="B91" s="62"/>
      <c r="C91" s="62"/>
      <c r="D91" s="62"/>
      <c r="E91" s="64"/>
      <c r="F91" s="94"/>
      <c r="G91" s="95"/>
    </row>
    <row r="92" spans="1:7">
      <c r="A92" s="74"/>
      <c r="B92" s="62"/>
      <c r="C92" s="62"/>
      <c r="D92" s="62"/>
      <c r="E92" s="64"/>
      <c r="F92" s="94"/>
      <c r="G92" s="95"/>
    </row>
    <row r="93" spans="1:7">
      <c r="A93" s="74"/>
      <c r="B93" s="62"/>
      <c r="C93" s="62"/>
      <c r="D93" s="62"/>
      <c r="E93" s="64"/>
      <c r="F93" s="94"/>
      <c r="G93" s="95"/>
    </row>
    <row r="94" spans="1:7">
      <c r="A94" s="74"/>
      <c r="B94" s="62"/>
      <c r="C94" s="62"/>
      <c r="D94" s="62"/>
      <c r="E94" s="64"/>
      <c r="F94" s="94"/>
      <c r="G94" s="95"/>
    </row>
    <row r="95" spans="1:7">
      <c r="A95" s="74"/>
      <c r="B95" s="62"/>
      <c r="C95" s="62"/>
      <c r="D95" s="62"/>
      <c r="E95" s="64"/>
      <c r="F95" s="94"/>
      <c r="G95" s="95"/>
    </row>
    <row r="96" spans="1:7">
      <c r="A96" s="74"/>
      <c r="B96" s="62"/>
      <c r="C96" s="62"/>
      <c r="D96" s="62"/>
      <c r="E96" s="64"/>
      <c r="F96" s="94"/>
      <c r="G96" s="95"/>
    </row>
    <row r="97" spans="1:7">
      <c r="A97" s="74"/>
      <c r="B97" s="62"/>
      <c r="C97" s="62"/>
      <c r="D97" s="62"/>
      <c r="E97" s="64"/>
      <c r="F97" s="94"/>
      <c r="G97" s="95"/>
    </row>
    <row r="98" spans="1:7">
      <c r="A98" s="74"/>
      <c r="B98" s="62"/>
      <c r="C98" s="62"/>
      <c r="D98" s="62"/>
      <c r="E98" s="64"/>
      <c r="F98" s="94"/>
      <c r="G98" s="95"/>
    </row>
    <row r="99" spans="1:7">
      <c r="A99" s="74"/>
      <c r="B99" s="62"/>
      <c r="C99" s="62"/>
      <c r="D99" s="62"/>
      <c r="E99" s="64"/>
      <c r="F99" s="94"/>
      <c r="G99" s="95"/>
    </row>
    <row r="100" spans="1:7">
      <c r="A100" s="74"/>
      <c r="B100" s="62"/>
      <c r="C100" s="62"/>
      <c r="D100" s="62"/>
      <c r="E100" s="64"/>
      <c r="F100" s="94"/>
      <c r="G100" s="95"/>
    </row>
    <row r="101" spans="1:7">
      <c r="A101" s="74"/>
      <c r="B101" s="62"/>
      <c r="C101" s="62"/>
      <c r="D101" s="62"/>
      <c r="E101" s="75"/>
      <c r="F101" s="94"/>
      <c r="G101" s="95"/>
    </row>
    <row r="102" spans="1:7">
      <c r="A102" s="74"/>
      <c r="B102" s="62"/>
      <c r="C102" s="62"/>
      <c r="D102" s="62"/>
      <c r="E102" s="75"/>
      <c r="F102" s="94"/>
      <c r="G102" s="95"/>
    </row>
    <row r="103" spans="1:7">
      <c r="A103" s="74"/>
      <c r="B103" s="62"/>
      <c r="C103" s="62"/>
      <c r="D103" s="62"/>
      <c r="E103" s="75"/>
      <c r="F103" s="94"/>
      <c r="G103" s="95"/>
    </row>
    <row r="104" spans="1:7">
      <c r="A104" s="74"/>
      <c r="B104" s="62"/>
      <c r="C104" s="62"/>
      <c r="D104" s="62"/>
      <c r="E104" s="75"/>
      <c r="F104" s="94"/>
      <c r="G104" s="95"/>
    </row>
    <row r="105" spans="1:7">
      <c r="A105" s="74"/>
      <c r="B105" s="62"/>
      <c r="C105" s="62"/>
      <c r="D105" s="62"/>
      <c r="E105" s="75"/>
      <c r="F105" s="94"/>
      <c r="G105" s="95"/>
    </row>
    <row r="106" spans="1:7">
      <c r="A106" s="74"/>
      <c r="B106" s="62"/>
      <c r="C106" s="62"/>
      <c r="D106" s="62"/>
      <c r="E106" s="75"/>
      <c r="F106" s="94"/>
      <c r="G106" s="95"/>
    </row>
    <row r="107" spans="1:7">
      <c r="A107" s="74"/>
      <c r="B107" s="62"/>
      <c r="C107" s="62"/>
      <c r="D107" s="62"/>
      <c r="E107" s="75"/>
      <c r="F107" s="94"/>
      <c r="G107" s="95"/>
    </row>
    <row r="108" spans="1:7">
      <c r="A108" s="74"/>
      <c r="B108" s="62"/>
      <c r="C108" s="62"/>
      <c r="D108" s="62"/>
      <c r="E108" s="75"/>
      <c r="F108" s="94"/>
      <c r="G108" s="95"/>
    </row>
    <row r="109" spans="1:7">
      <c r="A109" s="74"/>
      <c r="B109" s="62"/>
      <c r="C109" s="62"/>
      <c r="D109" s="62"/>
      <c r="E109" s="75"/>
      <c r="F109" s="94"/>
      <c r="G109" s="95"/>
    </row>
    <row r="110" spans="1:7">
      <c r="A110" s="74"/>
      <c r="B110" s="62"/>
      <c r="C110" s="62"/>
      <c r="D110" s="62"/>
      <c r="E110" s="75"/>
      <c r="F110" s="94"/>
      <c r="G110" s="95"/>
    </row>
    <row r="111" spans="1:7">
      <c r="A111" s="74"/>
      <c r="B111" s="62"/>
      <c r="C111" s="62"/>
      <c r="D111" s="62"/>
      <c r="E111" s="75"/>
      <c r="F111" s="94"/>
      <c r="G111" s="95"/>
    </row>
    <row r="112" spans="1:7">
      <c r="A112" s="74"/>
      <c r="B112" s="62"/>
      <c r="C112" s="62"/>
      <c r="D112" s="62"/>
      <c r="E112" s="75"/>
      <c r="F112" s="94"/>
      <c r="G112" s="95"/>
    </row>
    <row r="113" spans="1:7">
      <c r="A113" s="76"/>
      <c r="B113" s="77"/>
      <c r="C113" s="77"/>
      <c r="D113" s="78"/>
      <c r="E113" s="79"/>
      <c r="F113" s="77"/>
      <c r="G113" s="95"/>
    </row>
    <row r="114" spans="1:7">
      <c r="A114" s="76"/>
      <c r="B114" s="77"/>
      <c r="C114" s="77"/>
      <c r="D114" s="78"/>
      <c r="E114" s="79"/>
      <c r="F114" s="77"/>
      <c r="G114" s="95"/>
    </row>
    <row r="115" spans="1:7">
      <c r="A115" s="76"/>
      <c r="B115" s="77"/>
      <c r="C115" s="77"/>
      <c r="D115" s="78"/>
      <c r="E115" s="79"/>
      <c r="F115" s="77"/>
      <c r="G115" s="95"/>
    </row>
    <row r="116" spans="1:7">
      <c r="A116" s="76"/>
      <c r="B116" s="77"/>
      <c r="C116" s="77"/>
      <c r="D116" s="77"/>
      <c r="E116" s="79"/>
      <c r="F116" s="77"/>
      <c r="G116" s="95"/>
    </row>
    <row r="117" spans="1:7">
      <c r="A117" s="76"/>
      <c r="B117" s="77"/>
      <c r="C117" s="77"/>
      <c r="D117" s="77"/>
      <c r="E117" s="79"/>
      <c r="F117" s="77"/>
      <c r="G117" s="95"/>
    </row>
    <row r="118" spans="1:7">
      <c r="A118" s="76"/>
      <c r="B118" s="77"/>
      <c r="C118" s="77"/>
      <c r="D118" s="77"/>
      <c r="E118" s="79"/>
      <c r="F118" s="77"/>
      <c r="G118" s="95"/>
    </row>
    <row r="119" spans="1:7">
      <c r="A119" s="76"/>
      <c r="B119" s="77"/>
      <c r="C119" s="77"/>
      <c r="D119" s="77"/>
      <c r="E119" s="79"/>
      <c r="F119" s="77"/>
      <c r="G119" s="95"/>
    </row>
    <row r="120" spans="1:7">
      <c r="A120" s="76"/>
      <c r="B120" s="77"/>
      <c r="C120" s="77"/>
      <c r="D120" s="77"/>
      <c r="E120" s="79"/>
      <c r="F120" s="77"/>
      <c r="G120" s="95"/>
    </row>
    <row r="121" spans="1:7">
      <c r="A121" s="76"/>
      <c r="B121" s="77"/>
      <c r="C121" s="77"/>
      <c r="D121" s="77"/>
      <c r="E121" s="79"/>
      <c r="F121" s="77"/>
      <c r="G121" s="95"/>
    </row>
    <row r="122" spans="1:7">
      <c r="A122" s="76"/>
      <c r="B122" s="77"/>
      <c r="C122" s="77"/>
      <c r="D122" s="77"/>
      <c r="E122" s="79"/>
      <c r="F122" s="77"/>
      <c r="G122" s="95"/>
    </row>
    <row r="123" spans="1:7">
      <c r="A123" s="76"/>
      <c r="B123" s="77"/>
      <c r="C123" s="77"/>
      <c r="D123" s="77"/>
      <c r="E123" s="79"/>
      <c r="F123" s="77"/>
      <c r="G123" s="95"/>
    </row>
    <row r="124" spans="1:7">
      <c r="A124" s="76"/>
      <c r="B124" s="77"/>
      <c r="C124" s="77"/>
      <c r="D124" s="77"/>
      <c r="E124" s="79"/>
      <c r="F124" s="77"/>
      <c r="G124" s="95"/>
    </row>
    <row r="125" spans="1:7">
      <c r="A125" s="76"/>
      <c r="B125" s="77"/>
      <c r="C125" s="77"/>
      <c r="D125" s="77"/>
      <c r="E125" s="79"/>
      <c r="F125" s="77"/>
      <c r="G125" s="95"/>
    </row>
    <row r="126" spans="1:7">
      <c r="A126" s="76"/>
      <c r="B126" s="77"/>
      <c r="C126" s="77"/>
      <c r="D126" s="77"/>
      <c r="E126" s="79"/>
      <c r="F126" s="77"/>
      <c r="G126" s="95"/>
    </row>
    <row r="127" spans="1:7">
      <c r="A127" s="76"/>
      <c r="B127" s="77"/>
      <c r="C127" s="77"/>
      <c r="D127" s="77"/>
      <c r="E127" s="79"/>
      <c r="F127" s="77"/>
      <c r="G127" s="95"/>
    </row>
    <row r="128" spans="1:7">
      <c r="A128" s="76"/>
      <c r="B128" s="77"/>
      <c r="C128" s="77"/>
      <c r="D128" s="77"/>
      <c r="E128" s="79"/>
      <c r="F128" s="77"/>
      <c r="G128" s="95"/>
    </row>
    <row r="129" spans="1:7">
      <c r="A129" s="76"/>
      <c r="B129" s="77"/>
      <c r="C129" s="77"/>
      <c r="D129" s="77"/>
      <c r="E129" s="79"/>
      <c r="F129" s="77"/>
      <c r="G129" s="95"/>
    </row>
    <row r="130" spans="1:7">
      <c r="A130" s="76"/>
      <c r="B130" s="77"/>
      <c r="C130" s="77"/>
      <c r="D130" s="77"/>
      <c r="E130" s="79"/>
      <c r="F130" s="77"/>
      <c r="G130" s="95"/>
    </row>
    <row r="131" spans="1:7">
      <c r="A131" s="76"/>
      <c r="B131" s="77"/>
      <c r="C131" s="77"/>
      <c r="D131" s="77"/>
      <c r="E131" s="79"/>
      <c r="F131" s="77"/>
      <c r="G131" s="95"/>
    </row>
    <row r="132" spans="1:7">
      <c r="A132" s="76"/>
      <c r="B132" s="77"/>
      <c r="C132" s="77"/>
      <c r="D132" s="77"/>
      <c r="E132" s="79"/>
      <c r="F132" s="77"/>
      <c r="G132" s="95"/>
    </row>
    <row r="133" spans="1:7">
      <c r="A133" s="76"/>
      <c r="B133" s="77"/>
      <c r="C133" s="77"/>
      <c r="D133" s="77"/>
      <c r="E133" s="79"/>
      <c r="F133" s="77"/>
      <c r="G133" s="95"/>
    </row>
    <row r="134" spans="1:7">
      <c r="A134" s="76"/>
      <c r="B134" s="77"/>
      <c r="C134" s="77"/>
      <c r="D134" s="77"/>
      <c r="E134" s="79"/>
      <c r="F134" s="77"/>
      <c r="G134" s="95"/>
    </row>
    <row r="135" spans="1:7">
      <c r="A135" s="76"/>
      <c r="B135" s="77"/>
      <c r="C135" s="77"/>
      <c r="D135" s="77"/>
      <c r="E135" s="79"/>
      <c r="F135" s="77"/>
      <c r="G135" s="95"/>
    </row>
    <row r="136" spans="1:7">
      <c r="A136" s="76"/>
      <c r="B136" s="77"/>
      <c r="C136" s="77"/>
      <c r="D136" s="77"/>
      <c r="E136" s="79"/>
      <c r="F136" s="77"/>
      <c r="G136" s="95"/>
    </row>
    <row r="137" spans="1:7">
      <c r="A137" s="76"/>
      <c r="B137" s="77"/>
      <c r="C137" s="77"/>
      <c r="D137" s="77"/>
      <c r="E137" s="79"/>
      <c r="F137" s="77"/>
      <c r="G137" s="95"/>
    </row>
    <row r="138" spans="1:7">
      <c r="A138" s="76"/>
      <c r="B138" s="77"/>
      <c r="C138" s="77"/>
      <c r="D138" s="77"/>
      <c r="E138" s="79"/>
      <c r="F138" s="77"/>
      <c r="G138" s="95"/>
    </row>
    <row r="139" spans="1:7">
      <c r="A139" s="76"/>
      <c r="B139" s="77"/>
      <c r="C139" s="77"/>
      <c r="D139" s="77"/>
      <c r="E139" s="79"/>
      <c r="F139" s="77"/>
      <c r="G139" s="95"/>
    </row>
    <row r="140" spans="1:7">
      <c r="A140" s="76"/>
      <c r="B140" s="77"/>
      <c r="C140" s="77"/>
      <c r="D140" s="77"/>
      <c r="E140" s="79"/>
      <c r="F140" s="77"/>
      <c r="G140" s="95"/>
    </row>
    <row r="141" spans="1:7">
      <c r="A141" s="76"/>
      <c r="B141" s="77"/>
      <c r="C141" s="77"/>
      <c r="D141" s="77"/>
      <c r="E141" s="79"/>
      <c r="F141" s="77"/>
      <c r="G141" s="95"/>
    </row>
    <row r="142" spans="1:7">
      <c r="A142" s="76"/>
      <c r="B142" s="77"/>
      <c r="C142" s="77"/>
      <c r="D142" s="77"/>
      <c r="E142" s="79"/>
      <c r="F142" s="77"/>
      <c r="G142" s="95"/>
    </row>
    <row r="143" spans="1:7">
      <c r="A143" s="76"/>
      <c r="B143" s="77"/>
      <c r="C143" s="77"/>
      <c r="D143" s="77"/>
      <c r="E143" s="79"/>
      <c r="F143" s="77"/>
      <c r="G143" s="95"/>
    </row>
    <row r="144" spans="1:7">
      <c r="A144" s="76"/>
      <c r="B144" s="77"/>
      <c r="C144" s="77"/>
      <c r="D144" s="77"/>
      <c r="E144" s="79"/>
      <c r="F144" s="77"/>
      <c r="G144" s="95"/>
    </row>
    <row r="145" spans="1:7">
      <c r="A145" s="76"/>
      <c r="B145" s="77"/>
      <c r="C145" s="77"/>
      <c r="D145" s="77"/>
      <c r="E145" s="79"/>
      <c r="F145" s="77"/>
      <c r="G145" s="95"/>
    </row>
    <row r="146" spans="1:7">
      <c r="A146" s="76"/>
      <c r="B146" s="77"/>
      <c r="C146" s="77"/>
      <c r="D146" s="77"/>
      <c r="E146" s="79"/>
      <c r="F146" s="77"/>
      <c r="G146" s="95"/>
    </row>
    <row r="147" spans="1:7">
      <c r="A147" s="76"/>
      <c r="B147" s="77"/>
      <c r="C147" s="77"/>
      <c r="D147" s="77"/>
      <c r="E147" s="79"/>
      <c r="F147" s="77"/>
      <c r="G147" s="95"/>
    </row>
    <row r="148" spans="1:7">
      <c r="A148" s="76"/>
      <c r="B148" s="77"/>
      <c r="C148" s="77"/>
      <c r="D148" s="77"/>
      <c r="E148" s="79"/>
      <c r="F148" s="77"/>
      <c r="G148" s="95"/>
    </row>
    <row r="149" spans="1:7">
      <c r="A149" s="76"/>
      <c r="B149" s="77"/>
      <c r="C149" s="77"/>
      <c r="D149" s="77"/>
      <c r="E149" s="79"/>
      <c r="F149" s="77"/>
      <c r="G149" s="95"/>
    </row>
    <row r="150" spans="1:7">
      <c r="A150" s="76"/>
      <c r="B150" s="77"/>
      <c r="C150" s="77"/>
      <c r="D150" s="77"/>
      <c r="E150" s="79"/>
      <c r="F150" s="77"/>
      <c r="G150" s="95"/>
    </row>
    <row r="151" spans="1:7">
      <c r="A151" s="76"/>
      <c r="B151" s="77"/>
      <c r="C151" s="77"/>
      <c r="D151" s="77"/>
      <c r="E151" s="79"/>
      <c r="F151" s="77"/>
      <c r="G151" s="95"/>
    </row>
    <row r="152" spans="1:7">
      <c r="A152" s="76"/>
      <c r="B152" s="77"/>
      <c r="C152" s="77"/>
      <c r="D152" s="77"/>
      <c r="E152" s="79"/>
      <c r="F152" s="77"/>
      <c r="G152" s="95"/>
    </row>
    <row r="153" spans="1:7">
      <c r="A153" s="76"/>
      <c r="B153" s="77"/>
      <c r="C153" s="77"/>
      <c r="D153" s="77"/>
      <c r="E153" s="79"/>
      <c r="F153" s="77"/>
      <c r="G153" s="95"/>
    </row>
    <row r="154" spans="1:7">
      <c r="A154" s="76"/>
      <c r="B154" s="77"/>
      <c r="C154" s="77"/>
      <c r="D154" s="77"/>
      <c r="E154" s="79"/>
      <c r="F154" s="77"/>
      <c r="G154" s="95"/>
    </row>
    <row r="155" spans="1:7">
      <c r="A155" s="76"/>
      <c r="B155" s="77"/>
      <c r="C155" s="77"/>
      <c r="D155" s="77"/>
      <c r="E155" s="79"/>
      <c r="F155" s="77"/>
      <c r="G155" s="95"/>
    </row>
    <row r="156" spans="1:7">
      <c r="A156" s="76"/>
      <c r="B156" s="77"/>
      <c r="C156" s="77"/>
      <c r="D156" s="77"/>
      <c r="E156" s="79"/>
      <c r="F156" s="77"/>
      <c r="G156" s="95"/>
    </row>
    <row r="157" spans="1:7">
      <c r="A157" s="76"/>
      <c r="B157" s="77"/>
      <c r="C157" s="77"/>
      <c r="D157" s="77"/>
      <c r="E157" s="79"/>
      <c r="F157" s="77"/>
      <c r="G157" s="95"/>
    </row>
    <row r="158" spans="1:7">
      <c r="A158" s="76"/>
      <c r="B158" s="77"/>
      <c r="C158" s="77"/>
      <c r="D158" s="77"/>
      <c r="E158" s="79"/>
      <c r="F158" s="77"/>
      <c r="G158" s="95"/>
    </row>
    <row r="159" spans="1:7">
      <c r="A159" s="76"/>
      <c r="B159" s="77"/>
      <c r="C159" s="77"/>
      <c r="D159" s="77"/>
      <c r="E159" s="79"/>
      <c r="F159" s="77"/>
      <c r="G159" s="95"/>
    </row>
    <row r="160" spans="1:7">
      <c r="A160" s="76"/>
      <c r="B160" s="77"/>
      <c r="C160" s="77"/>
      <c r="D160" s="77"/>
      <c r="E160" s="79"/>
      <c r="F160" s="77"/>
      <c r="G160" s="95"/>
    </row>
    <row r="161" spans="1:7">
      <c r="A161" s="76"/>
      <c r="B161" s="77"/>
      <c r="C161" s="77"/>
      <c r="D161" s="77"/>
      <c r="E161" s="79"/>
      <c r="F161" s="77"/>
      <c r="G161" s="95"/>
    </row>
    <row r="162" spans="1:7">
      <c r="A162" s="76"/>
      <c r="B162" s="77"/>
      <c r="C162" s="77"/>
      <c r="D162" s="77"/>
      <c r="E162" s="79"/>
      <c r="F162" s="77"/>
      <c r="G162" s="95"/>
    </row>
    <row r="163" spans="1:7">
      <c r="A163" s="76"/>
      <c r="B163" s="77"/>
      <c r="C163" s="77"/>
      <c r="D163" s="77"/>
      <c r="E163" s="79"/>
      <c r="F163" s="77"/>
      <c r="G163" s="95"/>
    </row>
    <row r="164" spans="1:7">
      <c r="A164" s="76"/>
      <c r="B164" s="77"/>
      <c r="C164" s="77"/>
      <c r="D164" s="77"/>
      <c r="E164" s="79"/>
      <c r="F164" s="77"/>
      <c r="G164" s="95"/>
    </row>
    <row r="165" spans="1:7">
      <c r="A165" s="76"/>
      <c r="B165" s="77"/>
      <c r="C165" s="77"/>
      <c r="D165" s="77"/>
      <c r="E165" s="79"/>
      <c r="F165" s="77"/>
      <c r="G165" s="95"/>
    </row>
    <row r="166" spans="1:7">
      <c r="A166" s="76"/>
      <c r="B166" s="77"/>
      <c r="C166" s="77"/>
      <c r="D166" s="77"/>
      <c r="E166" s="79"/>
      <c r="F166" s="77"/>
      <c r="G166" s="95"/>
    </row>
    <row r="167" spans="1:7">
      <c r="A167" s="76"/>
      <c r="B167" s="77"/>
      <c r="C167" s="77"/>
      <c r="D167" s="77"/>
      <c r="E167" s="79"/>
      <c r="F167" s="77"/>
      <c r="G167" s="95"/>
    </row>
    <row r="168" spans="1:7">
      <c r="A168" s="76"/>
      <c r="B168" s="77"/>
      <c r="C168" s="77"/>
      <c r="D168" s="77"/>
      <c r="E168" s="79"/>
      <c r="F168" s="77"/>
      <c r="G168" s="95"/>
    </row>
    <row r="169" spans="1:7">
      <c r="A169" s="76"/>
      <c r="B169" s="77"/>
      <c r="C169" s="77"/>
      <c r="D169" s="77"/>
      <c r="E169" s="79"/>
      <c r="F169" s="77"/>
      <c r="G169" s="95"/>
    </row>
    <row r="170" spans="1:7">
      <c r="A170" s="76"/>
      <c r="B170" s="77"/>
      <c r="C170" s="77"/>
      <c r="D170" s="77"/>
      <c r="E170" s="79"/>
      <c r="F170" s="77"/>
      <c r="G170" s="95"/>
    </row>
    <row r="171" spans="1:7">
      <c r="A171" s="76"/>
      <c r="B171" s="77"/>
      <c r="C171" s="77"/>
      <c r="D171" s="77"/>
      <c r="E171" s="79"/>
      <c r="F171" s="77"/>
      <c r="G171" s="95"/>
    </row>
    <row r="172" spans="1:7">
      <c r="A172" s="76"/>
      <c r="B172" s="77"/>
      <c r="C172" s="77"/>
      <c r="D172" s="77"/>
      <c r="E172" s="79"/>
      <c r="F172" s="77"/>
      <c r="G172" s="95"/>
    </row>
    <row r="173" spans="1:7">
      <c r="A173" s="76"/>
      <c r="B173" s="77"/>
      <c r="C173" s="77"/>
      <c r="D173" s="77"/>
      <c r="E173" s="79"/>
      <c r="F173" s="77"/>
      <c r="G173" s="95"/>
    </row>
    <row r="174" spans="1:7">
      <c r="A174" s="76"/>
      <c r="B174" s="77"/>
      <c r="C174" s="77"/>
      <c r="D174" s="77"/>
      <c r="E174" s="79"/>
      <c r="F174" s="77"/>
      <c r="G174" s="95"/>
    </row>
    <row r="175" spans="1:7">
      <c r="A175" s="76"/>
      <c r="B175" s="77"/>
      <c r="C175" s="77"/>
      <c r="D175" s="77"/>
      <c r="E175" s="79"/>
      <c r="F175" s="77"/>
      <c r="G175" s="95"/>
    </row>
    <row r="176" spans="1:7">
      <c r="A176" s="76"/>
      <c r="B176" s="77"/>
      <c r="C176" s="77"/>
      <c r="D176" s="77"/>
      <c r="E176" s="79"/>
      <c r="F176" s="77"/>
      <c r="G176" s="95"/>
    </row>
    <row r="177" spans="1:7">
      <c r="A177" s="76"/>
      <c r="B177" s="77"/>
      <c r="C177" s="77"/>
      <c r="D177" s="77"/>
      <c r="E177" s="79"/>
      <c r="F177" s="77"/>
      <c r="G177" s="95"/>
    </row>
    <row r="178" spans="1:7">
      <c r="A178" s="76"/>
      <c r="B178" s="77"/>
      <c r="C178" s="77"/>
      <c r="D178" s="77"/>
      <c r="E178" s="79"/>
      <c r="F178" s="77"/>
      <c r="G178" s="95"/>
    </row>
    <row r="179" spans="1:7">
      <c r="A179" s="76"/>
      <c r="B179" s="77"/>
      <c r="C179" s="77"/>
      <c r="D179" s="77"/>
      <c r="E179" s="79"/>
      <c r="F179" s="77"/>
      <c r="G179" s="95"/>
    </row>
    <row r="180" spans="1:7">
      <c r="A180" s="76"/>
      <c r="B180" s="77"/>
      <c r="C180" s="77"/>
      <c r="D180" s="77"/>
      <c r="E180" s="79"/>
      <c r="F180" s="77"/>
      <c r="G180" s="95"/>
    </row>
    <row r="181" spans="1:7">
      <c r="A181" s="76"/>
      <c r="B181" s="77"/>
      <c r="C181" s="77"/>
      <c r="D181" s="77"/>
      <c r="E181" s="79"/>
      <c r="F181" s="77"/>
      <c r="G181" s="95"/>
    </row>
    <row r="182" spans="1:7">
      <c r="A182" s="76"/>
      <c r="B182" s="77"/>
      <c r="C182" s="77"/>
      <c r="D182" s="77"/>
      <c r="E182" s="79"/>
      <c r="F182" s="77"/>
      <c r="G182" s="95"/>
    </row>
    <row r="183" spans="1:7">
      <c r="A183" s="76"/>
      <c r="B183" s="77"/>
      <c r="C183" s="77"/>
      <c r="D183" s="77"/>
      <c r="E183" s="79"/>
      <c r="F183" s="77"/>
      <c r="G183" s="95"/>
    </row>
    <row r="184" spans="1:7">
      <c r="A184" s="76"/>
      <c r="B184" s="77"/>
      <c r="C184" s="77"/>
      <c r="D184" s="77"/>
      <c r="E184" s="79"/>
      <c r="F184" s="77"/>
      <c r="G184" s="95"/>
    </row>
    <row r="185" spans="1:7">
      <c r="A185" s="76"/>
      <c r="B185" s="77"/>
      <c r="C185" s="77"/>
      <c r="D185" s="77"/>
      <c r="E185" s="79"/>
      <c r="F185" s="77"/>
      <c r="G185" s="95"/>
    </row>
    <row r="186" spans="1:7">
      <c r="A186" s="76"/>
      <c r="B186" s="77"/>
      <c r="C186" s="77"/>
      <c r="D186" s="77"/>
      <c r="E186" s="79"/>
      <c r="F186" s="77"/>
      <c r="G186" s="95"/>
    </row>
    <row r="187" spans="1:7">
      <c r="A187" s="76"/>
      <c r="B187" s="77"/>
      <c r="C187" s="77"/>
      <c r="D187" s="77"/>
      <c r="E187" s="79"/>
      <c r="F187" s="77"/>
      <c r="G187" s="95"/>
    </row>
    <row r="188" spans="1:7">
      <c r="A188" s="76"/>
      <c r="B188" s="77"/>
      <c r="C188" s="77"/>
      <c r="D188" s="77"/>
      <c r="E188" s="79"/>
      <c r="F188" s="77"/>
      <c r="G188" s="95"/>
    </row>
    <row r="189" spans="1:7">
      <c r="A189" s="76"/>
      <c r="B189" s="77"/>
      <c r="C189" s="77"/>
      <c r="D189" s="77"/>
      <c r="E189" s="79"/>
      <c r="F189" s="77"/>
      <c r="G189" s="95"/>
    </row>
    <row r="190" spans="1:7">
      <c r="A190" s="76"/>
      <c r="B190" s="77"/>
      <c r="C190" s="77"/>
      <c r="D190" s="77"/>
      <c r="E190" s="79"/>
      <c r="F190" s="77"/>
      <c r="G190" s="95"/>
    </row>
    <row r="191" spans="1:7">
      <c r="A191" s="76"/>
      <c r="B191" s="77"/>
      <c r="C191" s="77"/>
      <c r="D191" s="77"/>
      <c r="E191" s="79"/>
      <c r="F191" s="77"/>
      <c r="G191" s="95"/>
    </row>
    <row r="192" spans="1:7">
      <c r="A192" s="76"/>
      <c r="B192" s="77"/>
      <c r="C192" s="77"/>
      <c r="D192" s="77"/>
      <c r="E192" s="79"/>
      <c r="F192" s="77"/>
      <c r="G192" s="95"/>
    </row>
    <row r="193" spans="1:7">
      <c r="A193" s="76"/>
      <c r="B193" s="77"/>
      <c r="C193" s="77"/>
      <c r="D193" s="77"/>
      <c r="E193" s="79"/>
      <c r="F193" s="77"/>
      <c r="G193" s="95"/>
    </row>
    <row r="194" spans="1:7">
      <c r="A194" s="76"/>
      <c r="B194" s="77"/>
      <c r="C194" s="77"/>
      <c r="D194" s="77"/>
      <c r="E194" s="79"/>
      <c r="F194" s="77"/>
      <c r="G194" s="95"/>
    </row>
    <row r="195" spans="1:7">
      <c r="A195" s="76"/>
      <c r="B195" s="77"/>
      <c r="C195" s="77"/>
      <c r="D195" s="77"/>
      <c r="E195" s="79"/>
      <c r="F195" s="77"/>
      <c r="G195" s="95"/>
    </row>
    <row r="196" spans="1:7">
      <c r="A196" s="76"/>
      <c r="B196" s="77"/>
      <c r="C196" s="77"/>
      <c r="D196" s="77"/>
      <c r="E196" s="79"/>
      <c r="F196" s="77"/>
      <c r="G196" s="95"/>
    </row>
    <row r="197" spans="1:7">
      <c r="A197" s="76"/>
      <c r="B197" s="77"/>
      <c r="C197" s="77"/>
      <c r="D197" s="77"/>
      <c r="E197" s="79"/>
      <c r="F197" s="77"/>
      <c r="G197" s="95"/>
    </row>
    <row r="198" spans="1:7">
      <c r="A198" s="76"/>
      <c r="B198" s="77"/>
      <c r="C198" s="77"/>
      <c r="D198" s="77"/>
      <c r="E198" s="79"/>
      <c r="F198" s="77"/>
      <c r="G198" s="95"/>
    </row>
    <row r="199" spans="1:7">
      <c r="A199" s="76"/>
      <c r="B199" s="77"/>
      <c r="C199" s="77"/>
      <c r="D199" s="77"/>
      <c r="E199" s="79"/>
      <c r="F199" s="77"/>
      <c r="G199" s="95"/>
    </row>
    <row r="200" spans="1:7">
      <c r="A200" s="76"/>
      <c r="B200" s="77"/>
      <c r="C200" s="77"/>
      <c r="D200" s="77"/>
      <c r="E200" s="79"/>
      <c r="F200" s="77"/>
      <c r="G200" s="95"/>
    </row>
    <row r="201" spans="1:7">
      <c r="A201" s="76"/>
      <c r="B201" s="77"/>
      <c r="C201" s="77"/>
      <c r="D201" s="77"/>
      <c r="E201" s="79"/>
      <c r="F201" s="77"/>
      <c r="G201" s="95"/>
    </row>
    <row r="202" spans="1:7">
      <c r="A202" s="76"/>
      <c r="B202" s="77"/>
      <c r="C202" s="77"/>
      <c r="D202" s="77"/>
      <c r="E202" s="79"/>
      <c r="F202" s="77"/>
      <c r="G202" s="95"/>
    </row>
    <row r="203" spans="1:7">
      <c r="A203" s="76"/>
      <c r="B203" s="77"/>
      <c r="C203" s="77"/>
      <c r="D203" s="77"/>
      <c r="E203" s="79"/>
      <c r="F203" s="77"/>
      <c r="G203" s="95"/>
    </row>
    <row r="204" spans="1:7">
      <c r="A204" s="76"/>
      <c r="B204" s="77"/>
      <c r="C204" s="77"/>
      <c r="D204" s="77"/>
      <c r="E204" s="79"/>
      <c r="F204" s="77"/>
      <c r="G204" s="95"/>
    </row>
    <row r="205" spans="1:7">
      <c r="A205" s="76"/>
      <c r="B205" s="77"/>
      <c r="C205" s="77"/>
      <c r="D205" s="77"/>
      <c r="E205" s="79"/>
      <c r="F205" s="77"/>
      <c r="G205" s="95"/>
    </row>
    <row r="206" spans="1:7">
      <c r="A206" s="76"/>
      <c r="B206" s="77"/>
      <c r="C206" s="77"/>
      <c r="D206" s="77"/>
      <c r="E206" s="79"/>
      <c r="F206" s="77"/>
      <c r="G206" s="95"/>
    </row>
    <row r="207" spans="1:7">
      <c r="A207" s="76"/>
      <c r="B207" s="77"/>
      <c r="C207" s="77"/>
      <c r="D207" s="77"/>
      <c r="E207" s="79"/>
      <c r="F207" s="77"/>
      <c r="G207" s="95"/>
    </row>
    <row r="208" spans="1:7">
      <c r="A208" s="76"/>
      <c r="B208" s="77"/>
      <c r="C208" s="77"/>
      <c r="D208" s="77"/>
      <c r="E208" s="79"/>
      <c r="F208" s="77"/>
      <c r="G208" s="95"/>
    </row>
    <row r="209" spans="1:7">
      <c r="A209" s="76"/>
      <c r="B209" s="77"/>
      <c r="C209" s="77"/>
      <c r="D209" s="77"/>
      <c r="E209" s="79"/>
      <c r="F209" s="77"/>
      <c r="G209" s="95"/>
    </row>
    <row r="210" spans="1:7">
      <c r="A210" s="76"/>
      <c r="B210" s="77"/>
      <c r="C210" s="77"/>
      <c r="D210" s="77"/>
      <c r="E210" s="79"/>
      <c r="F210" s="77"/>
      <c r="G210" s="95"/>
    </row>
    <row r="211" spans="1:7">
      <c r="A211" s="76"/>
      <c r="B211" s="77"/>
      <c r="C211" s="77"/>
      <c r="D211" s="77"/>
      <c r="E211" s="79"/>
      <c r="F211" s="77"/>
      <c r="G211" s="95"/>
    </row>
    <row r="212" spans="1:7">
      <c r="A212" s="76"/>
      <c r="B212" s="77"/>
      <c r="C212" s="77"/>
      <c r="D212" s="77"/>
      <c r="E212" s="79"/>
      <c r="F212" s="77"/>
      <c r="G212" s="95"/>
    </row>
    <row r="213" spans="1:7">
      <c r="A213" s="76"/>
      <c r="B213" s="77"/>
      <c r="C213" s="77"/>
      <c r="D213" s="77"/>
      <c r="E213" s="79"/>
      <c r="F213" s="77"/>
      <c r="G213" s="95"/>
    </row>
    <row r="214" spans="1:7">
      <c r="A214" s="76"/>
      <c r="B214" s="77"/>
      <c r="C214" s="77"/>
      <c r="D214" s="77"/>
      <c r="E214" s="79"/>
      <c r="F214" s="77"/>
      <c r="G214" s="95"/>
    </row>
    <row r="215" spans="1:7">
      <c r="A215" s="76"/>
      <c r="B215" s="77"/>
      <c r="C215" s="77"/>
      <c r="D215" s="77"/>
      <c r="E215" s="79"/>
      <c r="F215" s="77"/>
      <c r="G215" s="95"/>
    </row>
    <row r="216" spans="1:7">
      <c r="A216" s="76"/>
      <c r="B216" s="77"/>
      <c r="C216" s="77"/>
      <c r="D216" s="77"/>
      <c r="E216" s="79"/>
      <c r="F216" s="77"/>
      <c r="G216" s="95"/>
    </row>
    <row r="217" spans="1:7">
      <c r="A217" s="76"/>
      <c r="B217" s="77"/>
      <c r="C217" s="77"/>
      <c r="D217" s="77"/>
      <c r="E217" s="79"/>
      <c r="F217" s="77"/>
      <c r="G217" s="95"/>
    </row>
    <row r="218" spans="1:7">
      <c r="A218" s="76"/>
      <c r="B218" s="77"/>
      <c r="C218" s="77"/>
      <c r="D218" s="77"/>
      <c r="E218" s="79"/>
      <c r="F218" s="77"/>
      <c r="G218" s="95"/>
    </row>
    <row r="219" spans="1:7">
      <c r="A219" s="76"/>
      <c r="B219" s="77"/>
      <c r="C219" s="77"/>
      <c r="D219" s="77"/>
      <c r="E219" s="79"/>
      <c r="F219" s="77"/>
      <c r="G219" s="95"/>
    </row>
    <row r="220" spans="1:7">
      <c r="A220" s="76"/>
      <c r="B220" s="77"/>
      <c r="C220" s="77"/>
      <c r="D220" s="77"/>
      <c r="E220" s="79"/>
      <c r="F220" s="77"/>
      <c r="G220" s="95"/>
    </row>
    <row r="221" spans="1:7">
      <c r="A221" s="76"/>
      <c r="B221" s="77"/>
      <c r="C221" s="77"/>
      <c r="D221" s="77"/>
      <c r="E221" s="79"/>
      <c r="F221" s="77"/>
      <c r="G221" s="95"/>
    </row>
    <row r="222" spans="1:7">
      <c r="A222" s="76"/>
      <c r="B222" s="77"/>
      <c r="C222" s="77"/>
      <c r="D222" s="77"/>
      <c r="E222" s="79"/>
      <c r="F222" s="77"/>
      <c r="G222" s="95"/>
    </row>
    <row r="223" spans="1:7">
      <c r="A223" s="76"/>
      <c r="B223" s="77"/>
      <c r="C223" s="77"/>
      <c r="D223" s="80"/>
      <c r="E223" s="79"/>
      <c r="F223" s="80"/>
      <c r="G223" s="95"/>
    </row>
    <row r="224" spans="1:7">
      <c r="A224" s="76"/>
      <c r="B224" s="77"/>
      <c r="C224" s="77"/>
      <c r="D224" s="80"/>
      <c r="E224" s="79"/>
      <c r="F224" s="80"/>
      <c r="G224" s="95"/>
    </row>
    <row r="225" spans="1:7">
      <c r="A225" s="76"/>
      <c r="B225" s="77"/>
      <c r="C225" s="77"/>
      <c r="D225" s="80"/>
      <c r="E225" s="79"/>
      <c r="F225" s="80"/>
      <c r="G225" s="95"/>
    </row>
    <row r="226" spans="1:7">
      <c r="A226" s="76"/>
      <c r="B226" s="77"/>
      <c r="C226" s="77"/>
      <c r="D226" s="80"/>
      <c r="E226" s="79"/>
      <c r="F226" s="80"/>
      <c r="G226" s="95"/>
    </row>
    <row r="227" spans="1:7">
      <c r="A227" s="76"/>
      <c r="B227" s="77"/>
      <c r="C227" s="77"/>
      <c r="D227" s="80"/>
      <c r="E227" s="79"/>
      <c r="F227" s="80"/>
      <c r="G227" s="95"/>
    </row>
    <row r="228" spans="1:7">
      <c r="A228" s="76"/>
      <c r="B228" s="77"/>
      <c r="C228" s="77"/>
      <c r="D228" s="80"/>
      <c r="E228" s="79"/>
      <c r="F228" s="80"/>
      <c r="G228" s="95"/>
    </row>
    <row r="229" spans="1:7">
      <c r="A229" s="76"/>
      <c r="B229" s="77"/>
      <c r="C229" s="77"/>
      <c r="D229" s="80"/>
      <c r="E229" s="79"/>
      <c r="F229" s="80"/>
      <c r="G229" s="95"/>
    </row>
    <row r="230" spans="1:7">
      <c r="A230" s="76"/>
      <c r="B230" s="77"/>
      <c r="C230" s="77"/>
      <c r="D230" s="80"/>
      <c r="E230" s="79"/>
      <c r="F230" s="80"/>
      <c r="G230" s="95"/>
    </row>
    <row r="231" spans="1:7">
      <c r="A231" s="76"/>
      <c r="B231" s="77"/>
      <c r="C231" s="77"/>
      <c r="D231" s="80"/>
      <c r="E231" s="79"/>
      <c r="F231" s="80"/>
      <c r="G231" s="95"/>
    </row>
    <row r="232" spans="1:7">
      <c r="A232" s="76"/>
      <c r="B232" s="77"/>
      <c r="C232" s="77"/>
      <c r="D232" s="80"/>
      <c r="E232" s="79"/>
      <c r="F232" s="80"/>
      <c r="G232" s="95"/>
    </row>
    <row r="233" spans="1:7">
      <c r="A233" s="76"/>
      <c r="B233" s="77"/>
      <c r="C233" s="77"/>
      <c r="D233" s="80"/>
      <c r="E233" s="79"/>
      <c r="F233" s="80"/>
      <c r="G233" s="95"/>
    </row>
    <row r="234" spans="1:7">
      <c r="A234" s="76"/>
      <c r="B234" s="77"/>
      <c r="C234" s="77"/>
      <c r="D234" s="80"/>
      <c r="E234" s="79"/>
      <c r="F234" s="80"/>
      <c r="G234" s="95"/>
    </row>
    <row r="235" spans="1:7">
      <c r="A235" s="76"/>
      <c r="B235" s="77"/>
      <c r="C235" s="77"/>
      <c r="D235" s="80"/>
      <c r="E235" s="79"/>
      <c r="F235" s="80"/>
      <c r="G235" s="95"/>
    </row>
    <row r="236" spans="1:7">
      <c r="A236" s="76"/>
      <c r="B236" s="77"/>
      <c r="C236" s="77"/>
      <c r="D236" s="80"/>
      <c r="E236" s="79"/>
      <c r="F236" s="80"/>
      <c r="G236" s="95"/>
    </row>
    <row r="237" spans="1:7">
      <c r="A237" s="76"/>
      <c r="B237" s="77"/>
      <c r="C237" s="77"/>
      <c r="D237" s="80"/>
      <c r="E237" s="79"/>
      <c r="F237" s="80"/>
      <c r="G237" s="95"/>
    </row>
    <row r="238" spans="1:7">
      <c r="A238" s="76"/>
      <c r="B238" s="77"/>
      <c r="C238" s="77"/>
      <c r="D238" s="80"/>
      <c r="E238" s="79"/>
      <c r="F238" s="80"/>
      <c r="G238" s="95"/>
    </row>
    <row r="239" spans="1:7">
      <c r="A239" s="76"/>
      <c r="B239" s="77"/>
      <c r="C239" s="77"/>
      <c r="D239" s="80"/>
      <c r="E239" s="79"/>
      <c r="F239" s="80"/>
      <c r="G239" s="95"/>
    </row>
    <row r="240" spans="1:7">
      <c r="A240" s="76"/>
      <c r="B240" s="77"/>
      <c r="C240" s="77"/>
      <c r="D240" s="80"/>
      <c r="E240" s="79"/>
      <c r="F240" s="80"/>
      <c r="G240" s="95"/>
    </row>
    <row r="241" spans="1:7">
      <c r="A241" s="76"/>
      <c r="B241" s="77"/>
      <c r="C241" s="77"/>
      <c r="D241" s="80"/>
      <c r="E241" s="79"/>
      <c r="F241" s="80"/>
      <c r="G241" s="95"/>
    </row>
    <row r="242" spans="1:7">
      <c r="A242" s="76"/>
      <c r="B242" s="77"/>
      <c r="C242" s="77"/>
      <c r="D242" s="80"/>
      <c r="E242" s="79"/>
      <c r="F242" s="80"/>
      <c r="G242" s="95"/>
    </row>
    <row r="243" spans="1:7">
      <c r="A243" s="76"/>
      <c r="B243" s="77"/>
      <c r="C243" s="77"/>
      <c r="D243" s="80"/>
      <c r="E243" s="79"/>
      <c r="F243" s="80"/>
      <c r="G243" s="95"/>
    </row>
    <row r="244" spans="1:7">
      <c r="A244" s="76"/>
      <c r="B244" s="77"/>
      <c r="C244" s="77"/>
      <c r="D244" s="80"/>
      <c r="E244" s="79"/>
      <c r="F244" s="80"/>
      <c r="G244" s="95"/>
    </row>
    <row r="245" spans="1:7">
      <c r="A245" s="76"/>
      <c r="B245" s="77"/>
      <c r="C245" s="77"/>
      <c r="D245" s="80"/>
      <c r="E245" s="79"/>
      <c r="F245" s="80"/>
      <c r="G245" s="95"/>
    </row>
    <row r="246" spans="1:7">
      <c r="A246" s="76"/>
      <c r="B246" s="77"/>
      <c r="C246" s="77"/>
      <c r="D246" s="80"/>
      <c r="E246" s="79"/>
      <c r="F246" s="80"/>
      <c r="G246" s="95"/>
    </row>
    <row r="247" spans="1:7">
      <c r="A247" s="76"/>
      <c r="B247" s="77"/>
      <c r="C247" s="77"/>
      <c r="D247" s="80"/>
      <c r="E247" s="79"/>
      <c r="F247" s="80"/>
      <c r="G247" s="95"/>
    </row>
    <row r="248" spans="1:7">
      <c r="A248" s="76"/>
      <c r="B248" s="77"/>
      <c r="C248" s="77"/>
      <c r="D248" s="80"/>
      <c r="E248" s="79"/>
      <c r="F248" s="80"/>
      <c r="G248" s="95"/>
    </row>
    <row r="249" spans="1:7">
      <c r="A249" s="76"/>
      <c r="B249" s="77"/>
      <c r="C249" s="77"/>
      <c r="D249" s="80"/>
      <c r="E249" s="79"/>
      <c r="F249" s="80"/>
      <c r="G249" s="95"/>
    </row>
    <row r="250" spans="1:7">
      <c r="A250" s="76"/>
      <c r="B250" s="77"/>
      <c r="C250" s="77"/>
      <c r="D250" s="80"/>
      <c r="E250" s="79"/>
      <c r="F250" s="80"/>
      <c r="G250" s="95"/>
    </row>
    <row r="251" spans="1:7">
      <c r="A251" s="76"/>
      <c r="B251" s="77"/>
      <c r="C251" s="77"/>
      <c r="D251" s="80"/>
      <c r="E251" s="79"/>
      <c r="F251" s="80"/>
      <c r="G251" s="95"/>
    </row>
    <row r="252" spans="1:7">
      <c r="A252" s="76"/>
      <c r="B252" s="77"/>
      <c r="C252" s="77"/>
      <c r="D252" s="80"/>
      <c r="E252" s="79"/>
      <c r="F252" s="80"/>
      <c r="G252" s="95"/>
    </row>
    <row r="253" spans="1:7">
      <c r="A253" s="76"/>
      <c r="B253" s="77"/>
      <c r="C253" s="77"/>
      <c r="D253" s="80"/>
      <c r="E253" s="79"/>
      <c r="F253" s="80"/>
      <c r="G253" s="95"/>
    </row>
    <row r="254" spans="1:7">
      <c r="A254" s="76"/>
      <c r="B254" s="77"/>
      <c r="C254" s="77"/>
      <c r="D254" s="80"/>
      <c r="E254" s="79"/>
      <c r="F254" s="80"/>
      <c r="G254" s="95"/>
    </row>
    <row r="255" spans="1:7">
      <c r="A255" s="76"/>
      <c r="B255" s="77"/>
      <c r="C255" s="77"/>
      <c r="D255" s="80"/>
      <c r="E255" s="79"/>
      <c r="F255" s="80"/>
      <c r="G255" s="95"/>
    </row>
    <row r="256" spans="1:7">
      <c r="A256" s="76"/>
      <c r="B256" s="77"/>
      <c r="C256" s="77"/>
      <c r="D256" s="80"/>
      <c r="E256" s="79"/>
      <c r="F256" s="80"/>
      <c r="G256" s="95"/>
    </row>
    <row r="257" spans="1:7">
      <c r="A257" s="76"/>
      <c r="B257" s="77"/>
      <c r="C257" s="77"/>
      <c r="D257" s="80"/>
      <c r="E257" s="79"/>
      <c r="F257" s="80"/>
      <c r="G257" s="95"/>
    </row>
    <row r="258" spans="1:7">
      <c r="A258" s="76"/>
      <c r="B258" s="77"/>
      <c r="C258" s="77"/>
      <c r="D258" s="80"/>
      <c r="E258" s="79"/>
      <c r="F258" s="80"/>
      <c r="G258" s="95"/>
    </row>
    <row r="259" spans="1:7">
      <c r="A259" s="76"/>
      <c r="B259" s="77"/>
      <c r="C259" s="77"/>
      <c r="D259" s="80"/>
      <c r="E259" s="79"/>
      <c r="F259" s="80"/>
      <c r="G259" s="95"/>
    </row>
    <row r="260" spans="1:7">
      <c r="A260" s="30"/>
      <c r="B260" s="26"/>
      <c r="C260" s="26"/>
      <c r="E260" s="31"/>
    </row>
    <row r="261" spans="1:7">
      <c r="A261" s="30"/>
      <c r="B261" s="26"/>
      <c r="C261" s="26"/>
      <c r="E261" s="31"/>
    </row>
    <row r="262" spans="1:7">
      <c r="A262" s="30"/>
      <c r="B262" s="26"/>
      <c r="C262" s="26"/>
      <c r="E262" s="31"/>
    </row>
    <row r="263" spans="1:7">
      <c r="A263" s="30"/>
      <c r="B263" s="26"/>
      <c r="C263" s="26"/>
      <c r="E263" s="31"/>
    </row>
    <row r="264" spans="1:7">
      <c r="A264" s="30"/>
      <c r="B264" s="26"/>
      <c r="E264" s="31"/>
    </row>
    <row r="265" spans="1:7">
      <c r="A265" s="30"/>
      <c r="B265" s="26"/>
      <c r="E265" s="31"/>
    </row>
    <row r="266" spans="1:7">
      <c r="A266" s="30"/>
      <c r="B266" s="26"/>
      <c r="E266" s="31"/>
    </row>
    <row r="267" spans="1:7">
      <c r="A267" s="30"/>
      <c r="B267" s="26"/>
      <c r="E267" s="31"/>
    </row>
    <row r="268" spans="1:7">
      <c r="A268" s="30"/>
      <c r="B268" s="26"/>
      <c r="E268" s="31"/>
    </row>
    <row r="269" spans="1:7">
      <c r="A269" s="30"/>
      <c r="B269" s="26"/>
      <c r="E269" s="31"/>
    </row>
    <row r="270" spans="1:7">
      <c r="A270" s="30"/>
      <c r="B270" s="26"/>
      <c r="E270" s="31"/>
    </row>
    <row r="271" spans="1:7">
      <c r="A271" s="30"/>
      <c r="B271" s="26"/>
      <c r="E271" s="31"/>
    </row>
    <row r="272" spans="1:7">
      <c r="A272" s="30"/>
      <c r="B272" s="26"/>
      <c r="E272" s="31"/>
    </row>
    <row r="273" spans="1:5">
      <c r="A273" s="30"/>
      <c r="B273" s="26"/>
      <c r="E273" s="31"/>
    </row>
    <row r="274" spans="1:5">
      <c r="A274" s="30"/>
      <c r="B274" s="26"/>
      <c r="E274" s="31"/>
    </row>
    <row r="275" spans="1:5">
      <c r="A275" s="30"/>
      <c r="B275" s="26"/>
      <c r="E275" s="31"/>
    </row>
    <row r="276" spans="1:5">
      <c r="A276" s="30"/>
      <c r="B276" s="26"/>
      <c r="E276" s="31"/>
    </row>
    <row r="277" spans="1:5">
      <c r="A277" s="30"/>
      <c r="B277" s="26"/>
      <c r="E277" s="31"/>
    </row>
    <row r="278" spans="1:5">
      <c r="A278" s="30"/>
      <c r="B278" s="26"/>
      <c r="E278" s="31"/>
    </row>
    <row r="279" spans="1:5">
      <c r="A279" s="30"/>
      <c r="B279" s="26"/>
      <c r="E279" s="31"/>
    </row>
    <row r="280" spans="1:5">
      <c r="A280" s="30"/>
      <c r="B280" s="26"/>
      <c r="E280" s="31"/>
    </row>
    <row r="281" spans="1:5">
      <c r="A281" s="30"/>
      <c r="B281" s="26"/>
      <c r="E281" s="31"/>
    </row>
    <row r="282" spans="1:5">
      <c r="A282" s="30"/>
      <c r="B282" s="26"/>
      <c r="E282" s="31"/>
    </row>
    <row r="283" spans="1:5">
      <c r="A283" s="30"/>
      <c r="B283" s="26"/>
      <c r="E283" s="31"/>
    </row>
    <row r="284" spans="1:5">
      <c r="A284" s="30"/>
      <c r="B284" s="26"/>
      <c r="E284" s="31"/>
    </row>
    <row r="285" spans="1:5">
      <c r="A285" s="30"/>
      <c r="B285" s="26"/>
      <c r="E285" s="31"/>
    </row>
    <row r="286" spans="1:5">
      <c r="A286" s="30"/>
      <c r="B286" s="26"/>
      <c r="E286" s="31"/>
    </row>
    <row r="287" spans="1:5">
      <c r="A287" s="30"/>
      <c r="B287" s="26"/>
      <c r="E287" s="31"/>
    </row>
    <row r="288" spans="1:5">
      <c r="A288" s="30"/>
      <c r="B288" s="26"/>
      <c r="E288" s="31"/>
    </row>
    <row r="289" spans="1:5">
      <c r="A289" s="30"/>
      <c r="B289" s="26"/>
      <c r="E289" s="31"/>
    </row>
    <row r="290" spans="1:5">
      <c r="A290" s="30"/>
      <c r="B290" s="26"/>
      <c r="E290" s="31"/>
    </row>
    <row r="291" spans="1:5">
      <c r="A291" s="30"/>
      <c r="B291" s="26"/>
      <c r="E291" s="31"/>
    </row>
    <row r="292" spans="1:5">
      <c r="A292" s="30"/>
      <c r="B292" s="26"/>
      <c r="E292" s="31"/>
    </row>
    <row r="293" spans="1:5">
      <c r="A293" s="30"/>
      <c r="B293" s="26"/>
      <c r="E293" s="31"/>
    </row>
    <row r="294" spans="1:5">
      <c r="A294" s="30"/>
      <c r="B294" s="26"/>
      <c r="E294" s="31"/>
    </row>
    <row r="295" spans="1:5">
      <c r="A295" s="30"/>
      <c r="B295" s="26"/>
      <c r="E295" s="31"/>
    </row>
    <row r="296" spans="1:5">
      <c r="A296" s="30"/>
      <c r="B296" s="26"/>
      <c r="E296" s="31"/>
    </row>
    <row r="297" spans="1:5">
      <c r="A297" s="30"/>
      <c r="B297" s="26"/>
      <c r="E297" s="31"/>
    </row>
    <row r="298" spans="1:5">
      <c r="A298" s="30"/>
      <c r="B298" s="26"/>
      <c r="E298" s="31"/>
    </row>
    <row r="299" spans="1:5">
      <c r="A299" s="30"/>
      <c r="B299" s="26"/>
      <c r="E299" s="31"/>
    </row>
    <row r="300" spans="1:5">
      <c r="A300" s="30"/>
      <c r="B300" s="26"/>
      <c r="E300" s="31"/>
    </row>
    <row r="301" spans="1:5">
      <c r="A301" s="30"/>
      <c r="B301" s="26"/>
      <c r="E301" s="31"/>
    </row>
    <row r="302" spans="1:5">
      <c r="A302" s="30"/>
      <c r="B302" s="26"/>
      <c r="E302" s="31"/>
    </row>
    <row r="303" spans="1:5">
      <c r="A303" s="30"/>
      <c r="B303" s="26"/>
      <c r="E303" s="31"/>
    </row>
    <row r="304" spans="1:5">
      <c r="A304" s="30"/>
      <c r="B304" s="26"/>
      <c r="E304" s="31"/>
    </row>
    <row r="305" spans="1:5">
      <c r="A305" s="30"/>
      <c r="B305" s="26"/>
      <c r="E305" s="31"/>
    </row>
    <row r="306" spans="1:5">
      <c r="A306" s="30"/>
      <c r="B306" s="26"/>
      <c r="E306" s="31"/>
    </row>
    <row r="307" spans="1:5">
      <c r="A307" s="30"/>
      <c r="B307" s="26"/>
      <c r="E307" s="31"/>
    </row>
    <row r="308" spans="1:5">
      <c r="A308" s="30"/>
      <c r="B308" s="26"/>
      <c r="E308" s="31"/>
    </row>
    <row r="309" spans="1:5">
      <c r="A309" s="30"/>
      <c r="B309" s="26"/>
      <c r="E309" s="31"/>
    </row>
    <row r="310" spans="1:5">
      <c r="A310" s="30"/>
      <c r="B310" s="26"/>
      <c r="E310" s="31"/>
    </row>
    <row r="311" spans="1:5">
      <c r="A311" s="30"/>
      <c r="B311" s="26"/>
      <c r="E311" s="31"/>
    </row>
    <row r="312" spans="1:5">
      <c r="A312" s="31"/>
      <c r="B312" s="26"/>
      <c r="E312" s="31"/>
    </row>
    <row r="313" spans="1:5">
      <c r="A313" s="31"/>
      <c r="B313" s="26"/>
      <c r="E313" s="31"/>
    </row>
    <row r="314" spans="1:5">
      <c r="A314" s="31"/>
      <c r="B314" s="26"/>
      <c r="E314" s="31"/>
    </row>
    <row r="315" spans="1:5">
      <c r="A315" s="31"/>
      <c r="B315" s="26"/>
      <c r="E315" s="31"/>
    </row>
    <row r="316" spans="1:5">
      <c r="A316" s="31"/>
      <c r="B316" s="26"/>
      <c r="E316" s="31"/>
    </row>
    <row r="317" spans="1:5">
      <c r="A317" s="31"/>
      <c r="B317" s="26"/>
      <c r="E317" s="31"/>
    </row>
    <row r="318" spans="1:5">
      <c r="A318" s="31"/>
      <c r="B318" s="26"/>
      <c r="E318" s="31"/>
    </row>
    <row r="319" spans="1:5">
      <c r="A319" s="31"/>
      <c r="B319" s="26"/>
      <c r="E319" s="31"/>
    </row>
    <row r="320" spans="1:5">
      <c r="A320" s="31"/>
      <c r="B320" s="26"/>
      <c r="E320" s="31"/>
    </row>
    <row r="321" spans="1:5">
      <c r="A321" s="31"/>
      <c r="B321" s="26"/>
      <c r="E321" s="31"/>
    </row>
    <row r="322" spans="1:5">
      <c r="A322" s="31"/>
      <c r="B322" s="26"/>
      <c r="E322" s="31"/>
    </row>
    <row r="323" spans="1:5">
      <c r="A323" s="31"/>
      <c r="B323" s="26"/>
      <c r="E323" s="31"/>
    </row>
    <row r="324" spans="1:5">
      <c r="A324" s="31"/>
      <c r="B324" s="26"/>
      <c r="E324" s="31"/>
    </row>
    <row r="325" spans="1:5">
      <c r="A325" s="31"/>
      <c r="B325" s="26"/>
      <c r="E325" s="31"/>
    </row>
    <row r="326" spans="1:5">
      <c r="A326" s="31"/>
      <c r="B326" s="26"/>
      <c r="E326" s="31"/>
    </row>
    <row r="327" spans="1:5">
      <c r="A327" s="31"/>
      <c r="B327" s="26"/>
      <c r="E327" s="31"/>
    </row>
    <row r="328" spans="1:5">
      <c r="A328" s="31"/>
      <c r="B328" s="26"/>
      <c r="E328" s="31"/>
    </row>
    <row r="329" spans="1:5">
      <c r="A329" s="31"/>
      <c r="B329" s="26"/>
      <c r="E329" s="31"/>
    </row>
    <row r="330" spans="1:5">
      <c r="A330" s="31"/>
      <c r="B330" s="26"/>
      <c r="E330" s="31"/>
    </row>
    <row r="331" spans="1:5">
      <c r="A331" s="31"/>
      <c r="B331" s="26"/>
      <c r="E331" s="31"/>
    </row>
    <row r="332" spans="1:5">
      <c r="A332" s="31"/>
      <c r="B332" s="26"/>
      <c r="E332" s="31"/>
    </row>
    <row r="333" spans="1:5">
      <c r="A333" s="31"/>
      <c r="B333" s="26"/>
      <c r="E333" s="31"/>
    </row>
    <row r="334" spans="1:5">
      <c r="A334" s="31"/>
      <c r="B334" s="26"/>
      <c r="E334" s="31"/>
    </row>
    <row r="335" spans="1:5">
      <c r="A335" s="31"/>
      <c r="B335" s="26"/>
      <c r="E335" s="31"/>
    </row>
    <row r="336" spans="1:5">
      <c r="A336" s="31"/>
      <c r="B336" s="26"/>
      <c r="E336" s="31"/>
    </row>
    <row r="337" spans="1:5">
      <c r="A337" s="31"/>
      <c r="B337" s="26"/>
      <c r="E337" s="31"/>
    </row>
    <row r="338" spans="1:5">
      <c r="A338" s="31"/>
      <c r="B338" s="26"/>
      <c r="E338" s="31"/>
    </row>
    <row r="339" spans="1:5">
      <c r="A339" s="31"/>
      <c r="B339" s="26"/>
      <c r="E339" s="31"/>
    </row>
    <row r="340" spans="1:5">
      <c r="A340" s="31"/>
      <c r="B340" s="26"/>
      <c r="E340" s="31"/>
    </row>
    <row r="341" spans="1:5">
      <c r="A341" s="31"/>
      <c r="B341" s="26"/>
      <c r="E341" s="31"/>
    </row>
    <row r="342" spans="1:5">
      <c r="A342" s="31"/>
      <c r="B342" s="26"/>
      <c r="E342" s="31"/>
    </row>
    <row r="343" spans="1:5">
      <c r="A343" s="31"/>
      <c r="B343" s="26"/>
      <c r="E343" s="31"/>
    </row>
    <row r="344" spans="1:5">
      <c r="A344" s="31"/>
      <c r="B344" s="26"/>
      <c r="E344" s="31"/>
    </row>
    <row r="345" spans="1:5">
      <c r="A345" s="31"/>
      <c r="B345" s="26"/>
      <c r="E345" s="31"/>
    </row>
    <row r="346" spans="1:5">
      <c r="B346" s="26"/>
      <c r="E346" s="31"/>
    </row>
    <row r="347" spans="1:5">
      <c r="B347" s="26"/>
      <c r="E347" s="31"/>
    </row>
    <row r="348" spans="1:5">
      <c r="B348" s="26"/>
      <c r="E348" s="31"/>
    </row>
    <row r="349" spans="1:5">
      <c r="B349" s="26"/>
      <c r="E349" s="31"/>
    </row>
    <row r="350" spans="1:5">
      <c r="B350" s="26"/>
      <c r="E350" s="31"/>
    </row>
    <row r="351" spans="1:5">
      <c r="B351" s="26"/>
      <c r="E351" s="31"/>
    </row>
    <row r="352" spans="1:5">
      <c r="B352" s="26"/>
      <c r="E352" s="31"/>
    </row>
    <row r="353" spans="2:2">
      <c r="B353" s="26"/>
    </row>
    <row r="354" spans="2:2">
      <c r="B354" s="26"/>
    </row>
    <row r="355" spans="2:2">
      <c r="B355" s="26"/>
    </row>
  </sheetData>
  <mergeCells count="2">
    <mergeCell ref="D5:E5"/>
    <mergeCell ref="B1:E3"/>
  </mergeCells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K66"/>
  <sheetViews>
    <sheetView workbookViewId="0">
      <selection activeCell="F45" sqref="F45"/>
    </sheetView>
  </sheetViews>
  <sheetFormatPr baseColWidth="10" defaultRowHeight="15"/>
  <cols>
    <col min="1" max="1" width="32.140625" customWidth="1"/>
    <col min="2" max="2" width="27.140625" customWidth="1"/>
    <col min="3" max="3" width="24.28515625" customWidth="1"/>
    <col min="4" max="4" width="17.85546875" customWidth="1"/>
    <col min="5" max="5" width="21.28515625" customWidth="1"/>
    <col min="6" max="7" width="18.140625" customWidth="1"/>
    <col min="8" max="8" width="18.5703125" customWidth="1"/>
    <col min="9" max="9" width="17.5703125" bestFit="1" customWidth="1"/>
    <col min="10" max="10" width="23" bestFit="1" customWidth="1"/>
    <col min="11" max="11" width="25.42578125" customWidth="1"/>
    <col min="12" max="12" width="23.85546875" customWidth="1"/>
  </cols>
  <sheetData>
    <row r="1" spans="1:11" ht="15" customHeight="1">
      <c r="C1" s="247" t="s">
        <v>39</v>
      </c>
      <c r="D1" s="248"/>
      <c r="E1" s="248"/>
      <c r="F1" s="248"/>
      <c r="G1" s="248"/>
      <c r="H1" s="248"/>
      <c r="I1" s="56"/>
    </row>
    <row r="2" spans="1:11" ht="15" customHeight="1">
      <c r="C2" s="248"/>
      <c r="D2" s="248"/>
      <c r="E2" s="248"/>
      <c r="F2" s="248"/>
      <c r="G2" s="248"/>
      <c r="H2" s="248"/>
      <c r="I2" s="56"/>
    </row>
    <row r="3" spans="1:11" ht="15" customHeight="1">
      <c r="C3" s="248"/>
      <c r="D3" s="248"/>
      <c r="E3" s="248"/>
      <c r="F3" s="248"/>
      <c r="G3" s="248"/>
      <c r="H3" s="248"/>
      <c r="I3" s="56"/>
    </row>
    <row r="5" spans="1:11" ht="15.75">
      <c r="A5" s="3"/>
      <c r="B5" s="27" t="s">
        <v>3</v>
      </c>
      <c r="D5" s="25">
        <f>+'DETAIL CA MOIS'!C7</f>
        <v>46113</v>
      </c>
      <c r="F5" s="29" t="str">
        <f>+'DETAIL CA MOIS'!D7</f>
        <v>AU</v>
      </c>
      <c r="I5" s="25">
        <f>+'DETAIL CA MOIS'!E7</f>
        <v>46142</v>
      </c>
    </row>
    <row r="8" spans="1:11" ht="0.75" customHeight="1"/>
    <row r="9" spans="1:11" s="24" customFormat="1" ht="24" customHeight="1">
      <c r="A9" s="53" t="s">
        <v>17</v>
      </c>
      <c r="B9" s="53" t="s">
        <v>21</v>
      </c>
      <c r="C9" s="54" t="s">
        <v>18</v>
      </c>
      <c r="D9" s="53" t="s">
        <v>19</v>
      </c>
      <c r="E9" s="54" t="s">
        <v>20</v>
      </c>
      <c r="F9" s="53" t="s">
        <v>22</v>
      </c>
      <c r="G9" s="55" t="s">
        <v>23</v>
      </c>
      <c r="H9" s="54" t="s">
        <v>24</v>
      </c>
      <c r="I9" s="55" t="s">
        <v>25</v>
      </c>
      <c r="J9" s="54" t="s">
        <v>26</v>
      </c>
      <c r="K9" s="54" t="s">
        <v>27</v>
      </c>
    </row>
    <row r="10" spans="1:11">
      <c r="A10" s="57" t="str">
        <f>+'DETAIL CA MOIS'!B13</f>
        <v>PGT 308</v>
      </c>
      <c r="B10" s="57" t="str">
        <f>+'DETAIL CA MOIS'!C13</f>
        <v>FR DS-211-MA</v>
      </c>
      <c r="C10" s="58">
        <f>+'DETAIL CA MOIS'!D13</f>
        <v>2700</v>
      </c>
      <c r="D10" s="58">
        <f>+'DETAIL CA MOIS'!E13</f>
        <v>2700</v>
      </c>
      <c r="E10" s="58">
        <f>+'DETAIL CA MOIS'!F13</f>
        <v>0</v>
      </c>
      <c r="F10" s="59">
        <f>751.1+30</f>
        <v>781.1</v>
      </c>
      <c r="G10" s="59">
        <f>C10-F10</f>
        <v>1918.9</v>
      </c>
      <c r="H10" s="60">
        <f>+D10-F10</f>
        <v>1918.9</v>
      </c>
      <c r="I10" s="59">
        <f>70000/29</f>
        <v>2413.7931034482758</v>
      </c>
      <c r="J10" s="60">
        <f>+H10-I10</f>
        <v>-494.89310344827572</v>
      </c>
      <c r="K10" s="61">
        <f>+G10-I10</f>
        <v>-494.89310344827572</v>
      </c>
    </row>
    <row r="11" spans="1:11">
      <c r="A11" s="57" t="str">
        <f>+'DETAIL CA MOIS'!B14</f>
        <v>MERCEDES G63 AMG</v>
      </c>
      <c r="B11" s="57" t="str">
        <f>+'DETAIL CA MOIS'!C14</f>
        <v>26826 - T - 1</v>
      </c>
      <c r="C11" s="58">
        <f>+'DETAIL CA MOIS'!D14</f>
        <v>2000</v>
      </c>
      <c r="D11" s="58">
        <f>+'DETAIL CA MOIS'!E14</f>
        <v>2000</v>
      </c>
      <c r="E11" s="58">
        <f>+'DETAIL CA MOIS'!F14</f>
        <v>0</v>
      </c>
      <c r="F11" s="59">
        <f>100+600+300+15</f>
        <v>1015</v>
      </c>
      <c r="G11" s="59">
        <f t="shared" ref="G11:G58" si="0">C11-F11</f>
        <v>985</v>
      </c>
      <c r="H11" s="60">
        <f t="shared" ref="H11:H44" si="1">+D11-F11</f>
        <v>985</v>
      </c>
      <c r="I11" s="59">
        <f t="shared" ref="I11:I44" si="2">70000/29</f>
        <v>2413.7931034482758</v>
      </c>
      <c r="J11" s="60">
        <f t="shared" ref="J11:J58" si="3">+H11-I11</f>
        <v>-1428.7931034482758</v>
      </c>
      <c r="K11" s="61">
        <f t="shared" ref="K11:K58" si="4">+G11-I11</f>
        <v>-1428.7931034482758</v>
      </c>
    </row>
    <row r="12" spans="1:11">
      <c r="A12" s="57" t="str">
        <f>+'DETAIL CA MOIS'!B15</f>
        <v>DACIA LOGAN - WILA</v>
      </c>
      <c r="B12" s="57" t="str">
        <f>+'DETAIL CA MOIS'!C15</f>
        <v>M 195033</v>
      </c>
      <c r="C12" s="58">
        <f>+'DETAIL CA MOIS'!D15</f>
        <v>8182</v>
      </c>
      <c r="D12" s="58">
        <f>+'DETAIL CA MOIS'!E15</f>
        <v>0</v>
      </c>
      <c r="E12" s="58">
        <f>+'DETAIL CA MOIS'!F15</f>
        <v>8182</v>
      </c>
      <c r="F12" s="59">
        <f>+C12*0.35+70+890+190</f>
        <v>4013.7</v>
      </c>
      <c r="G12" s="59">
        <f t="shared" si="0"/>
        <v>4168.3</v>
      </c>
      <c r="H12" s="60">
        <f t="shared" si="1"/>
        <v>-4013.7</v>
      </c>
      <c r="I12" s="59">
        <f t="shared" si="2"/>
        <v>2413.7931034482758</v>
      </c>
      <c r="J12" s="60">
        <f t="shared" si="3"/>
        <v>-6427.4931034482761</v>
      </c>
      <c r="K12" s="61">
        <f t="shared" si="4"/>
        <v>1754.5068965517244</v>
      </c>
    </row>
    <row r="13" spans="1:11">
      <c r="A13" s="57" t="str">
        <f>+'DETAIL CA MOIS'!B16</f>
        <v>TOYOTA HILUX - NARSA</v>
      </c>
      <c r="B13" s="57" t="str">
        <f>+'DETAIL CA MOIS'!C16</f>
        <v>M 215843</v>
      </c>
      <c r="C13" s="58">
        <f>+'DETAIL CA MOIS'!D16</f>
        <v>4068</v>
      </c>
      <c r="D13" s="58">
        <f>+'DETAIL CA MOIS'!E16</f>
        <v>0</v>
      </c>
      <c r="E13" s="58">
        <f>+'DETAIL CA MOIS'!F16</f>
        <v>4068</v>
      </c>
      <c r="F13" s="103">
        <f>+C13*0.15+653</f>
        <v>1263.1999999999998</v>
      </c>
      <c r="G13" s="103">
        <f t="shared" si="0"/>
        <v>2804.8</v>
      </c>
      <c r="H13" s="104">
        <f t="shared" si="1"/>
        <v>-1263.1999999999998</v>
      </c>
      <c r="I13" s="103">
        <f t="shared" si="2"/>
        <v>2413.7931034482758</v>
      </c>
      <c r="J13" s="104">
        <f t="shared" si="3"/>
        <v>-3676.9931034482756</v>
      </c>
      <c r="K13" s="105">
        <f t="shared" si="4"/>
        <v>391.00689655172437</v>
      </c>
    </row>
    <row r="14" spans="1:11">
      <c r="A14" s="57" t="str">
        <f>+'DETAIL CA MOIS'!B17</f>
        <v>HYUNDAI I40</v>
      </c>
      <c r="B14" s="57" t="str">
        <f>+'DETAIL CA MOIS'!C17</f>
        <v>J 202955</v>
      </c>
      <c r="C14" s="58">
        <f>+'DETAIL CA MOIS'!D17</f>
        <v>3456</v>
      </c>
      <c r="D14" s="58">
        <f>+'DETAIL CA MOIS'!E17</f>
        <v>0</v>
      </c>
      <c r="E14" s="58">
        <f>+'DETAIL CA MOIS'!F17</f>
        <v>3456</v>
      </c>
      <c r="F14" s="103">
        <f>+C14*0.15+780</f>
        <v>1298.4000000000001</v>
      </c>
      <c r="G14" s="103">
        <f t="shared" si="0"/>
        <v>2157.6</v>
      </c>
      <c r="H14" s="104">
        <f t="shared" si="1"/>
        <v>-1298.4000000000001</v>
      </c>
      <c r="I14" s="103">
        <f t="shared" si="2"/>
        <v>2413.7931034482758</v>
      </c>
      <c r="J14" s="104">
        <f t="shared" si="3"/>
        <v>-3712.1931034482759</v>
      </c>
      <c r="K14" s="105">
        <f t="shared" si="4"/>
        <v>-256.19310344827591</v>
      </c>
    </row>
    <row r="15" spans="1:11">
      <c r="A15" s="57" t="str">
        <f>+'DETAIL CA MOIS'!B18</f>
        <v>RENAULT KANGOO - HARB</v>
      </c>
      <c r="B15" s="57" t="str">
        <f>+'DETAIL CA MOIS'!C18</f>
        <v>J 217690</v>
      </c>
      <c r="C15" s="58">
        <f>+'DETAIL CA MOIS'!D18</f>
        <v>1610</v>
      </c>
      <c r="D15" s="58">
        <f>+'DETAIL CA MOIS'!E18</f>
        <v>0</v>
      </c>
      <c r="E15" s="58">
        <f>+'DETAIL CA MOIS'!F18</f>
        <v>1610</v>
      </c>
      <c r="F15" s="103">
        <f>+C15*0.15+930</f>
        <v>1171.5</v>
      </c>
      <c r="G15" s="103">
        <f t="shared" si="0"/>
        <v>438.5</v>
      </c>
      <c r="H15" s="104">
        <f t="shared" si="1"/>
        <v>-1171.5</v>
      </c>
      <c r="I15" s="103">
        <f t="shared" si="2"/>
        <v>2413.7931034482758</v>
      </c>
      <c r="J15" s="104">
        <f t="shared" si="3"/>
        <v>-3585.2931034482758</v>
      </c>
      <c r="K15" s="105">
        <f t="shared" si="4"/>
        <v>-1975.2931034482758</v>
      </c>
    </row>
    <row r="16" spans="1:11">
      <c r="A16" s="57" t="str">
        <f>+'DETAIL CA MOIS'!B19</f>
        <v>DACIA DUSTER - WILA</v>
      </c>
      <c r="B16" s="57" t="str">
        <f>+'DETAIL CA MOIS'!C19</f>
        <v>M218563</v>
      </c>
      <c r="C16" s="58">
        <f>+'DETAIL CA MOIS'!D19</f>
        <v>9877.2000000000007</v>
      </c>
      <c r="D16" s="58">
        <f>+'DETAIL CA MOIS'!E19</f>
        <v>0</v>
      </c>
      <c r="E16" s="58">
        <f>+'DETAIL CA MOIS'!F19</f>
        <v>9877.2000000000007</v>
      </c>
      <c r="F16" s="103">
        <f>+C16*0.15+6421.25</f>
        <v>7902.83</v>
      </c>
      <c r="G16" s="103">
        <f t="shared" si="0"/>
        <v>1974.3700000000008</v>
      </c>
      <c r="H16" s="104">
        <f t="shared" si="1"/>
        <v>-7902.83</v>
      </c>
      <c r="I16" s="103">
        <f t="shared" si="2"/>
        <v>2413.7931034482758</v>
      </c>
      <c r="J16" s="104">
        <f t="shared" si="3"/>
        <v>-10316.623103448275</v>
      </c>
      <c r="K16" s="105">
        <f t="shared" si="4"/>
        <v>-439.42310344827501</v>
      </c>
    </row>
    <row r="17" spans="1:11">
      <c r="A17" s="57" t="str">
        <f>+'DETAIL CA MOIS'!B20</f>
        <v>DACIA DUSTER - WILA</v>
      </c>
      <c r="B17" s="57" t="str">
        <f>+'DETAIL CA MOIS'!C20</f>
        <v>M218563</v>
      </c>
      <c r="C17" s="58">
        <f>+'DETAIL CA MOIS'!D20</f>
        <v>9688.7999999999993</v>
      </c>
      <c r="D17" s="58">
        <f>+'DETAIL CA MOIS'!E20</f>
        <v>0</v>
      </c>
      <c r="E17" s="58">
        <f>+'DETAIL CA MOIS'!F20</f>
        <v>9688.7999999999993</v>
      </c>
      <c r="F17" s="103">
        <f>+C17*0.15</f>
        <v>1453.32</v>
      </c>
      <c r="G17" s="103">
        <f t="shared" si="0"/>
        <v>8235.48</v>
      </c>
      <c r="H17" s="104">
        <f t="shared" si="1"/>
        <v>-1453.32</v>
      </c>
      <c r="I17" s="103">
        <f t="shared" si="2"/>
        <v>2413.7931034482758</v>
      </c>
      <c r="J17" s="104">
        <f t="shared" si="3"/>
        <v>-3867.113103448276</v>
      </c>
      <c r="K17" s="105">
        <f t="shared" si="4"/>
        <v>5821.6868965517242</v>
      </c>
    </row>
    <row r="18" spans="1:11">
      <c r="A18" s="57" t="str">
        <f>+'DETAIL CA MOIS'!B21</f>
        <v>HYUNDAI TUCSON</v>
      </c>
      <c r="B18" s="57" t="str">
        <f>+'DETAIL CA MOIS'!C21</f>
        <v>60915 - T - 6</v>
      </c>
      <c r="C18" s="58">
        <f>+'DETAIL CA MOIS'!D21</f>
        <v>0</v>
      </c>
      <c r="D18" s="58">
        <f>+'DETAIL CA MOIS'!E21</f>
        <v>0</v>
      </c>
      <c r="E18" s="58">
        <f>+'DETAIL CA MOIS'!F21</f>
        <v>0</v>
      </c>
      <c r="F18" s="103">
        <v>200</v>
      </c>
      <c r="G18" s="103">
        <f t="shared" si="0"/>
        <v>-200</v>
      </c>
      <c r="H18" s="104">
        <f t="shared" si="1"/>
        <v>-200</v>
      </c>
      <c r="I18" s="103">
        <f t="shared" si="2"/>
        <v>2413.7931034482758</v>
      </c>
      <c r="J18" s="104">
        <f t="shared" si="3"/>
        <v>-2613.7931034482758</v>
      </c>
      <c r="K18" s="105">
        <f t="shared" si="4"/>
        <v>-2613.7931034482758</v>
      </c>
    </row>
    <row r="19" spans="1:11">
      <c r="A19" s="57" t="str">
        <f>+'DETAIL CA MOIS'!B22</f>
        <v>DACIA LOGAN-AMEE</v>
      </c>
      <c r="B19" s="57" t="str">
        <f>+'DETAIL CA MOIS'!C22</f>
        <v>M216483</v>
      </c>
      <c r="C19" s="58">
        <f>+'DETAIL CA MOIS'!D22</f>
        <v>1920</v>
      </c>
      <c r="D19" s="58">
        <f>+'DETAIL CA MOIS'!E22</f>
        <v>0</v>
      </c>
      <c r="E19" s="58">
        <f>+'DETAIL CA MOIS'!F22</f>
        <v>1920</v>
      </c>
      <c r="F19" s="103">
        <f>+C19*0.15+680</f>
        <v>968</v>
      </c>
      <c r="G19" s="103">
        <f t="shared" si="0"/>
        <v>952</v>
      </c>
      <c r="H19" s="104">
        <f t="shared" si="1"/>
        <v>-968</v>
      </c>
      <c r="I19" s="103">
        <f t="shared" si="2"/>
        <v>2413.7931034482758</v>
      </c>
      <c r="J19" s="104">
        <f t="shared" si="3"/>
        <v>-3381.7931034482758</v>
      </c>
      <c r="K19" s="105">
        <f t="shared" si="4"/>
        <v>-1461.7931034482758</v>
      </c>
    </row>
    <row r="20" spans="1:11">
      <c r="A20" s="57" t="str">
        <f>+'DETAIL CA MOIS'!B23</f>
        <v>DACIA DUSTER - WILA</v>
      </c>
      <c r="B20" s="57" t="str">
        <f>+'DETAIL CA MOIS'!C23</f>
        <v>M235133</v>
      </c>
      <c r="C20" s="58">
        <f>+'DETAIL CA MOIS'!D23</f>
        <v>1200</v>
      </c>
      <c r="D20" s="58">
        <f>+'DETAIL CA MOIS'!E23</f>
        <v>0</v>
      </c>
      <c r="E20" s="58">
        <f>+'DETAIL CA MOIS'!F23</f>
        <v>1200</v>
      </c>
      <c r="F20" s="103">
        <f>+C20*0.15</f>
        <v>180</v>
      </c>
      <c r="G20" s="103">
        <f t="shared" si="0"/>
        <v>1020</v>
      </c>
      <c r="H20" s="104">
        <f t="shared" si="1"/>
        <v>-180</v>
      </c>
      <c r="I20" s="103">
        <f t="shared" si="2"/>
        <v>2413.7931034482758</v>
      </c>
      <c r="J20" s="104">
        <f t="shared" si="3"/>
        <v>-2593.7931034482758</v>
      </c>
      <c r="K20" s="105">
        <f t="shared" si="4"/>
        <v>-1393.7931034482758</v>
      </c>
    </row>
    <row r="21" spans="1:11">
      <c r="A21" s="57" t="str">
        <f>+'DETAIL CA MOIS'!B24</f>
        <v>DACIA DOCKER - NARSA</v>
      </c>
      <c r="B21" s="57" t="str">
        <f>+'DETAIL CA MOIS'!C24</f>
        <v>M197496</v>
      </c>
      <c r="C21" s="58">
        <f>+'DETAIL CA MOIS'!D24</f>
        <v>1536</v>
      </c>
      <c r="D21" s="58">
        <f>+'DETAIL CA MOIS'!E24</f>
        <v>0</v>
      </c>
      <c r="E21" s="58">
        <f>+'DETAIL CA MOIS'!F24</f>
        <v>1536</v>
      </c>
      <c r="F21" s="103">
        <f>+C21*0.15+680</f>
        <v>910.4</v>
      </c>
      <c r="G21" s="103">
        <f t="shared" si="0"/>
        <v>625.6</v>
      </c>
      <c r="H21" s="104">
        <f t="shared" si="1"/>
        <v>-910.4</v>
      </c>
      <c r="I21" s="103">
        <f t="shared" si="2"/>
        <v>2413.7931034482758</v>
      </c>
      <c r="J21" s="104">
        <f t="shared" si="3"/>
        <v>-3324.1931034482759</v>
      </c>
      <c r="K21" s="105">
        <f t="shared" si="4"/>
        <v>-1788.1931034482759</v>
      </c>
    </row>
    <row r="22" spans="1:11">
      <c r="A22" s="57" t="str">
        <f>+'DETAIL CA MOIS'!B25</f>
        <v>MITSUBISHI PAJERO SPORT HARB</v>
      </c>
      <c r="B22" s="57" t="str">
        <f>+'DETAIL CA MOIS'!C25</f>
        <v>J 219569</v>
      </c>
      <c r="C22" s="58">
        <f>+'DETAIL CA MOIS'!D25</f>
        <v>2160</v>
      </c>
      <c r="D22" s="58">
        <f>+'DETAIL CA MOIS'!E25</f>
        <v>0</v>
      </c>
      <c r="E22" s="58">
        <f>+'DETAIL CA MOIS'!F25</f>
        <v>2160</v>
      </c>
      <c r="F22" s="103">
        <f>+C22*0.15+20</f>
        <v>344</v>
      </c>
      <c r="G22" s="103">
        <f t="shared" si="0"/>
        <v>1816</v>
      </c>
      <c r="H22" s="104">
        <f t="shared" si="1"/>
        <v>-344</v>
      </c>
      <c r="I22" s="103">
        <f t="shared" si="2"/>
        <v>2413.7931034482758</v>
      </c>
      <c r="J22" s="104">
        <f t="shared" si="3"/>
        <v>-2757.7931034482758</v>
      </c>
      <c r="K22" s="105">
        <f t="shared" si="4"/>
        <v>-597.79310344827582</v>
      </c>
    </row>
    <row r="23" spans="1:11">
      <c r="A23" s="57" t="str">
        <f>+'DETAIL CA MOIS'!B26</f>
        <v>RLT CAPTUR</v>
      </c>
      <c r="B23" s="57" t="str">
        <f>+'DETAIL CA MOIS'!C26</f>
        <v>14018 - D - 26</v>
      </c>
      <c r="C23" s="58">
        <f>+'DETAIL CA MOIS'!D26</f>
        <v>1000</v>
      </c>
      <c r="D23" s="58">
        <f>+'DETAIL CA MOIS'!E26</f>
        <v>1000</v>
      </c>
      <c r="E23" s="58">
        <f>+'DETAIL CA MOIS'!F26</f>
        <v>0</v>
      </c>
      <c r="F23" s="103">
        <v>100</v>
      </c>
      <c r="G23" s="103">
        <f t="shared" si="0"/>
        <v>900</v>
      </c>
      <c r="H23" s="104">
        <f t="shared" si="1"/>
        <v>900</v>
      </c>
      <c r="I23" s="103">
        <f t="shared" si="2"/>
        <v>2413.7931034482758</v>
      </c>
      <c r="J23" s="104">
        <f t="shared" si="3"/>
        <v>-1513.7931034482758</v>
      </c>
      <c r="K23" s="105">
        <f t="shared" si="4"/>
        <v>-1513.7931034482758</v>
      </c>
    </row>
    <row r="24" spans="1:11">
      <c r="A24" s="57" t="str">
        <f>+'DETAIL CA MOIS'!B27</f>
        <v>HYUNDAI TUCSON</v>
      </c>
      <c r="B24" s="57" t="str">
        <f>+'DETAIL CA MOIS'!C27</f>
        <v>WW713814</v>
      </c>
      <c r="C24" s="58">
        <f>+'DETAIL CA MOIS'!D27</f>
        <v>0</v>
      </c>
      <c r="D24" s="58">
        <f>+'DETAIL CA MOIS'!E27</f>
        <v>0</v>
      </c>
      <c r="E24" s="58">
        <f>+'DETAIL CA MOIS'!F27</f>
        <v>0</v>
      </c>
      <c r="F24" s="103">
        <f>80+200</f>
        <v>280</v>
      </c>
      <c r="G24" s="103">
        <f t="shared" si="0"/>
        <v>-280</v>
      </c>
      <c r="H24" s="104">
        <f t="shared" si="1"/>
        <v>-280</v>
      </c>
      <c r="I24" s="103">
        <f t="shared" si="2"/>
        <v>2413.7931034482758</v>
      </c>
      <c r="J24" s="104">
        <f t="shared" si="3"/>
        <v>-2693.7931034482758</v>
      </c>
      <c r="K24" s="105">
        <f t="shared" si="4"/>
        <v>-2693.7931034482758</v>
      </c>
    </row>
    <row r="25" spans="1:11">
      <c r="A25" s="57" t="str">
        <f>+'DETAIL CA MOIS'!B28</f>
        <v>RENAULT MASTER HARB</v>
      </c>
      <c r="B25" s="57" t="str">
        <f>+'DETAIL CA MOIS'!C28</f>
        <v>J 248320</v>
      </c>
      <c r="C25" s="58">
        <f>+'DETAIL CA MOIS'!D28</f>
        <v>3956</v>
      </c>
      <c r="D25" s="58">
        <f>+'DETAIL CA MOIS'!E28</f>
        <v>0</v>
      </c>
      <c r="E25" s="58">
        <f>+'DETAIL CA MOIS'!F28</f>
        <v>3956</v>
      </c>
      <c r="F25" s="103">
        <f>+C25*0.25+57*9+72+80+90</f>
        <v>1744</v>
      </c>
      <c r="G25" s="103">
        <f t="shared" si="0"/>
        <v>2212</v>
      </c>
      <c r="H25" s="104">
        <f t="shared" si="1"/>
        <v>-1744</v>
      </c>
      <c r="I25" s="103">
        <f t="shared" si="2"/>
        <v>2413.7931034482758</v>
      </c>
      <c r="J25" s="104">
        <f t="shared" si="3"/>
        <v>-4157.7931034482754</v>
      </c>
      <c r="K25" s="105">
        <f t="shared" si="4"/>
        <v>-201.79310344827582</v>
      </c>
    </row>
    <row r="26" spans="1:11">
      <c r="A26" s="57" t="str">
        <f>+'DETAIL CA MOIS'!B29</f>
        <v>MERCEDES E350d</v>
      </c>
      <c r="B26" s="57" t="str">
        <f>+'DETAIL CA MOIS'!C29</f>
        <v>116-96</v>
      </c>
      <c r="C26" s="58">
        <f>+'DETAIL CA MOIS'!D29</f>
        <v>900</v>
      </c>
      <c r="D26" s="58">
        <f>+'DETAIL CA MOIS'!E29</f>
        <v>0</v>
      </c>
      <c r="E26" s="58">
        <f>+'DETAIL CA MOIS'!F29</f>
        <v>900</v>
      </c>
      <c r="F26" s="103">
        <f>+C26*0.15</f>
        <v>135</v>
      </c>
      <c r="G26" s="103">
        <f t="shared" si="0"/>
        <v>765</v>
      </c>
      <c r="H26" s="104">
        <f t="shared" si="1"/>
        <v>-135</v>
      </c>
      <c r="I26" s="103">
        <f t="shared" si="2"/>
        <v>2413.7931034482758</v>
      </c>
      <c r="J26" s="104">
        <f t="shared" si="3"/>
        <v>-2548.7931034482758</v>
      </c>
      <c r="K26" s="105">
        <f t="shared" si="4"/>
        <v>-1648.7931034482758</v>
      </c>
    </row>
    <row r="27" spans="1:11">
      <c r="A27" s="57" t="str">
        <f>+'DETAIL CA MOIS'!B30</f>
        <v>DACIA DUSTER WILA</v>
      </c>
      <c r="B27" s="57" t="str">
        <f>+'DETAIL CA MOIS'!C30</f>
        <v>M199903</v>
      </c>
      <c r="C27" s="58">
        <f>+'DETAIL CA MOIS'!D30</f>
        <v>9960</v>
      </c>
      <c r="D27" s="58">
        <f>+'DETAIL CA MOIS'!E30</f>
        <v>0</v>
      </c>
      <c r="E27" s="58">
        <f>+'DETAIL CA MOIS'!F30</f>
        <v>0</v>
      </c>
      <c r="F27" s="103">
        <f>+C27*0.15+40</f>
        <v>1534</v>
      </c>
      <c r="G27" s="103">
        <f t="shared" si="0"/>
        <v>8426</v>
      </c>
      <c r="H27" s="104">
        <f t="shared" si="1"/>
        <v>-1534</v>
      </c>
      <c r="I27" s="103">
        <f t="shared" si="2"/>
        <v>2413.7931034482758</v>
      </c>
      <c r="J27" s="104">
        <f t="shared" si="3"/>
        <v>-3947.7931034482758</v>
      </c>
      <c r="K27" s="105">
        <f t="shared" si="4"/>
        <v>6012.2068965517246</v>
      </c>
    </row>
    <row r="28" spans="1:11">
      <c r="A28" s="57" t="str">
        <f>+'DETAIL CA MOIS'!B31</f>
        <v>DACIA DUSTER HARBIL</v>
      </c>
      <c r="B28" s="57" t="str">
        <f>+'DETAIL CA MOIS'!C31</f>
        <v>J 185418</v>
      </c>
      <c r="C28" s="58">
        <f>+'DETAIL CA MOIS'!D31</f>
        <v>9943.2000000000007</v>
      </c>
      <c r="D28" s="58">
        <f>+'DETAIL CA MOIS'!E31</f>
        <v>0</v>
      </c>
      <c r="E28" s="58">
        <f>+'DETAIL CA MOIS'!F31</f>
        <v>9943.2000000000007</v>
      </c>
      <c r="F28" s="103">
        <f>+C28*0.15+4850+70+60+40</f>
        <v>6511.48</v>
      </c>
      <c r="G28" s="103">
        <f t="shared" si="0"/>
        <v>3431.7200000000012</v>
      </c>
      <c r="H28" s="104">
        <f t="shared" si="1"/>
        <v>-6511.48</v>
      </c>
      <c r="I28" s="103">
        <f t="shared" si="2"/>
        <v>2413.7931034482758</v>
      </c>
      <c r="J28" s="104">
        <f t="shared" si="3"/>
        <v>-8925.2731034482749</v>
      </c>
      <c r="K28" s="105">
        <f t="shared" si="4"/>
        <v>1017.9268965517253</v>
      </c>
    </row>
    <row r="29" spans="1:11">
      <c r="A29" s="57" t="str">
        <f>+'DETAIL CA MOIS'!B32</f>
        <v>DACIA LOGAN</v>
      </c>
      <c r="B29" s="57" t="str">
        <f>+'DETAIL CA MOIS'!C32</f>
        <v>91092-A-26</v>
      </c>
      <c r="C29" s="58">
        <f>+'DETAIL CA MOIS'!D32</f>
        <v>6000</v>
      </c>
      <c r="D29" s="58">
        <f>+'DETAIL CA MOIS'!E32</f>
        <v>6000</v>
      </c>
      <c r="E29" s="58">
        <f>+'DETAIL CA MOIS'!F32</f>
        <v>0</v>
      </c>
      <c r="F29" s="103">
        <f>825+130+40</f>
        <v>995</v>
      </c>
      <c r="G29" s="103">
        <f t="shared" si="0"/>
        <v>5005</v>
      </c>
      <c r="H29" s="104">
        <f t="shared" si="1"/>
        <v>5005</v>
      </c>
      <c r="I29" s="103">
        <f t="shared" si="2"/>
        <v>2413.7931034482758</v>
      </c>
      <c r="J29" s="104">
        <f t="shared" si="3"/>
        <v>2591.2068965517242</v>
      </c>
      <c r="K29" s="105">
        <f t="shared" si="4"/>
        <v>2591.2068965517242</v>
      </c>
    </row>
    <row r="30" spans="1:11">
      <c r="A30" s="57" t="str">
        <f>+'DETAIL CA MOIS'!B33</f>
        <v>PGT BOXER</v>
      </c>
      <c r="B30" s="57" t="str">
        <f>+'DETAIL CA MOIS'!C33</f>
        <v>M234914</v>
      </c>
      <c r="C30" s="58">
        <f>+'DETAIL CA MOIS'!D33</f>
        <v>6633</v>
      </c>
      <c r="D30" s="58">
        <f>+'DETAIL CA MOIS'!E33</f>
        <v>0</v>
      </c>
      <c r="E30" s="58">
        <f>+'DETAIL CA MOIS'!F33</f>
        <v>6633</v>
      </c>
      <c r="F30" s="103">
        <f>+C30*0.15+1140+200</f>
        <v>2334.9499999999998</v>
      </c>
      <c r="G30" s="103">
        <f t="shared" si="0"/>
        <v>4298.05</v>
      </c>
      <c r="H30" s="104">
        <f t="shared" si="1"/>
        <v>-2334.9499999999998</v>
      </c>
      <c r="I30" s="103">
        <f t="shared" si="2"/>
        <v>2413.7931034482758</v>
      </c>
      <c r="J30" s="104">
        <f t="shared" si="3"/>
        <v>-4748.7431034482761</v>
      </c>
      <c r="K30" s="105">
        <f t="shared" si="4"/>
        <v>1884.2568965517244</v>
      </c>
    </row>
    <row r="31" spans="1:11">
      <c r="A31" s="57" t="str">
        <f>+'DETAIL CA MOIS'!B34</f>
        <v>PORSCHE 911</v>
      </c>
      <c r="B31" s="57" t="str">
        <f>+'DETAIL CA MOIS'!C34</f>
        <v>ESPAGNE</v>
      </c>
      <c r="C31" s="58">
        <f>+'DETAIL CA MOIS'!D34</f>
        <v>1000</v>
      </c>
      <c r="D31" s="58">
        <f>+'DETAIL CA MOIS'!E34</f>
        <v>1000</v>
      </c>
      <c r="E31" s="58">
        <f>+'DETAIL CA MOIS'!F34</f>
        <v>0</v>
      </c>
      <c r="F31" s="103"/>
      <c r="G31" s="103">
        <f t="shared" si="0"/>
        <v>1000</v>
      </c>
      <c r="H31" s="104">
        <f t="shared" si="1"/>
        <v>1000</v>
      </c>
      <c r="I31" s="103">
        <f t="shared" si="2"/>
        <v>2413.7931034482758</v>
      </c>
      <c r="J31" s="104">
        <f t="shared" si="3"/>
        <v>-1413.7931034482758</v>
      </c>
      <c r="K31" s="105">
        <f t="shared" si="4"/>
        <v>-1413.7931034482758</v>
      </c>
    </row>
    <row r="32" spans="1:11">
      <c r="A32" s="57" t="str">
        <f>+'DETAIL CA MOIS'!B35</f>
        <v>DACIA DUSTER - WILA</v>
      </c>
      <c r="B32" s="57" t="str">
        <f>+'DETAIL CA MOIS'!C35</f>
        <v>M218563</v>
      </c>
      <c r="C32" s="58">
        <f>+'DETAIL CA MOIS'!D35</f>
        <v>7200</v>
      </c>
      <c r="D32" s="58">
        <f>+'DETAIL CA MOIS'!E35</f>
        <v>0</v>
      </c>
      <c r="E32" s="58">
        <f>+'DETAIL CA MOIS'!F35</f>
        <v>7200</v>
      </c>
      <c r="F32" s="103">
        <f>+C32*0.15+1300+300+520+600+1150</f>
        <v>4950</v>
      </c>
      <c r="G32" s="103">
        <f t="shared" si="0"/>
        <v>2250</v>
      </c>
      <c r="H32" s="104">
        <f t="shared" si="1"/>
        <v>-4950</v>
      </c>
      <c r="I32" s="103">
        <f t="shared" si="2"/>
        <v>2413.7931034482758</v>
      </c>
      <c r="J32" s="104">
        <f t="shared" si="3"/>
        <v>-7363.7931034482754</v>
      </c>
      <c r="K32" s="105">
        <f t="shared" si="4"/>
        <v>-163.79310344827582</v>
      </c>
    </row>
    <row r="33" spans="1:11">
      <c r="A33" s="57" t="str">
        <f>+'DETAIL CA MOIS'!B36</f>
        <v>JEEP GD CHEROKEE</v>
      </c>
      <c r="B33" s="57" t="str">
        <f>+'DETAIL CA MOIS'!C36</f>
        <v>41724 - T - 1</v>
      </c>
      <c r="C33" s="58">
        <f>+'DETAIL CA MOIS'!D36</f>
        <v>1968</v>
      </c>
      <c r="D33" s="58">
        <f>+'DETAIL CA MOIS'!E36</f>
        <v>0</v>
      </c>
      <c r="E33" s="58">
        <f>+'DETAIL CA MOIS'!F36</f>
        <v>1968</v>
      </c>
      <c r="F33" s="103"/>
      <c r="G33" s="103">
        <f t="shared" si="0"/>
        <v>1968</v>
      </c>
      <c r="H33" s="104">
        <f t="shared" si="1"/>
        <v>0</v>
      </c>
      <c r="I33" s="103">
        <f t="shared" si="2"/>
        <v>2413.7931034482758</v>
      </c>
      <c r="J33" s="104">
        <f t="shared" si="3"/>
        <v>-2413.7931034482758</v>
      </c>
      <c r="K33" s="105">
        <f t="shared" si="4"/>
        <v>-445.79310344827582</v>
      </c>
    </row>
    <row r="34" spans="1:11">
      <c r="A34" s="57" t="str">
        <f>+'DETAIL CA MOIS'!B37</f>
        <v>PEUGEOT PARTNER</v>
      </c>
      <c r="B34" s="57" t="str">
        <f>+'DETAIL CA MOIS'!C37</f>
        <v>M174633</v>
      </c>
      <c r="C34" s="58">
        <f>+'DETAIL CA MOIS'!D37</f>
        <v>4325</v>
      </c>
      <c r="D34" s="58">
        <f>+'DETAIL CA MOIS'!E37</f>
        <v>0</v>
      </c>
      <c r="E34" s="58">
        <f>+'DETAIL CA MOIS'!F37</f>
        <v>4325</v>
      </c>
      <c r="F34" s="103">
        <f>+C34*0.15+200+700</f>
        <v>1548.75</v>
      </c>
      <c r="G34" s="103">
        <f t="shared" si="0"/>
        <v>2776.25</v>
      </c>
      <c r="H34" s="104">
        <f t="shared" si="1"/>
        <v>-1548.75</v>
      </c>
      <c r="I34" s="103">
        <f t="shared" si="2"/>
        <v>2413.7931034482758</v>
      </c>
      <c r="J34" s="104">
        <f t="shared" si="3"/>
        <v>-3962.5431034482758</v>
      </c>
      <c r="K34" s="105">
        <f t="shared" si="4"/>
        <v>362.45689655172418</v>
      </c>
    </row>
    <row r="35" spans="1:11">
      <c r="A35" s="57" t="str">
        <f>+'DETAIL CA MOIS'!B38</f>
        <v>DACIA LOGAN HARBIL</v>
      </c>
      <c r="B35" s="57" t="str">
        <f>+'DETAIL CA MOIS'!C38</f>
        <v>J204318</v>
      </c>
      <c r="C35" s="58">
        <f>+'DETAIL CA MOIS'!D38</f>
        <v>9962</v>
      </c>
      <c r="D35" s="58">
        <f>+'DETAIL CA MOIS'!E38</f>
        <v>0</v>
      </c>
      <c r="E35" s="58">
        <f>+'DETAIL CA MOIS'!F38</f>
        <v>9962</v>
      </c>
      <c r="F35" s="103">
        <f>+C35*0.15+300+600+280+75+280+165+100</f>
        <v>3294.3</v>
      </c>
      <c r="G35" s="103">
        <f t="shared" si="0"/>
        <v>6667.7</v>
      </c>
      <c r="H35" s="104">
        <f t="shared" si="1"/>
        <v>-3294.3</v>
      </c>
      <c r="I35" s="103">
        <f t="shared" si="2"/>
        <v>2413.7931034482758</v>
      </c>
      <c r="J35" s="104">
        <f t="shared" si="3"/>
        <v>-5708.0931034482765</v>
      </c>
      <c r="K35" s="105">
        <f t="shared" si="4"/>
        <v>4253.9068965517235</v>
      </c>
    </row>
    <row r="36" spans="1:11">
      <c r="A36" s="57" t="str">
        <f>+'DETAIL CA MOIS'!B39</f>
        <v>FORD TRANSIT HARBIL</v>
      </c>
      <c r="B36" s="57" t="str">
        <f>+'DETAIL CA MOIS'!C39</f>
        <v>J207789</v>
      </c>
      <c r="C36" s="58">
        <f>+'DETAIL CA MOIS'!D39</f>
        <v>8380</v>
      </c>
      <c r="D36" s="58">
        <f>+'DETAIL CA MOIS'!E39</f>
        <v>0</v>
      </c>
      <c r="E36" s="58">
        <f>+'DETAIL CA MOIS'!F39</f>
        <v>8380</v>
      </c>
      <c r="F36" s="103">
        <f>+C36*0.15+1250</f>
        <v>2507</v>
      </c>
      <c r="G36" s="103">
        <f t="shared" si="0"/>
        <v>5873</v>
      </c>
      <c r="H36" s="104">
        <f t="shared" si="1"/>
        <v>-2507</v>
      </c>
      <c r="I36" s="103">
        <f t="shared" si="2"/>
        <v>2413.7931034482758</v>
      </c>
      <c r="J36" s="104">
        <f t="shared" si="3"/>
        <v>-4920.7931034482754</v>
      </c>
      <c r="K36" s="105">
        <f t="shared" si="4"/>
        <v>3459.2068965517242</v>
      </c>
    </row>
    <row r="37" spans="1:11">
      <c r="A37" s="57" t="str">
        <f>+'DETAIL CA MOIS'!B40</f>
        <v>FIAT DOBLO HARBIL</v>
      </c>
      <c r="B37" s="57" t="str">
        <f>+'DETAIL CA MOIS'!C40</f>
        <v>J0248319</v>
      </c>
      <c r="C37" s="58">
        <f>+'DETAIL CA MOIS'!D40</f>
        <v>8380</v>
      </c>
      <c r="D37" s="58">
        <f>+'DETAIL CA MOIS'!E40</f>
        <v>0</v>
      </c>
      <c r="E37" s="58">
        <f>+'DETAIL CA MOIS'!F40</f>
        <v>8380</v>
      </c>
      <c r="F37" s="103">
        <f>+C37*0.15+1250</f>
        <v>2507</v>
      </c>
      <c r="G37" s="103">
        <f t="shared" si="0"/>
        <v>5873</v>
      </c>
      <c r="H37" s="104">
        <f t="shared" si="1"/>
        <v>-2507</v>
      </c>
      <c r="I37" s="103">
        <f t="shared" si="2"/>
        <v>2413.7931034482758</v>
      </c>
      <c r="J37" s="104">
        <f t="shared" si="3"/>
        <v>-4920.7931034482754</v>
      </c>
      <c r="K37" s="105">
        <f t="shared" si="4"/>
        <v>3459.2068965517242</v>
      </c>
    </row>
    <row r="38" spans="1:11">
      <c r="A38" s="57" t="str">
        <f>+'DETAIL CA MOIS'!B41</f>
        <v>RENAULT MASTER HARB</v>
      </c>
      <c r="B38" s="57" t="str">
        <f>+'DETAIL CA MOIS'!C41</f>
        <v>J0257528</v>
      </c>
      <c r="C38" s="58">
        <f>+'DETAIL CA MOIS'!D41</f>
        <v>8380</v>
      </c>
      <c r="D38" s="58">
        <f>+'DETAIL CA MOIS'!E41</f>
        <v>0</v>
      </c>
      <c r="E38" s="58">
        <f>+'DETAIL CA MOIS'!F41</f>
        <v>8380</v>
      </c>
      <c r="F38" s="103">
        <f>+C38*0.15+1250</f>
        <v>2507</v>
      </c>
      <c r="G38" s="103">
        <f t="shared" si="0"/>
        <v>5873</v>
      </c>
      <c r="H38" s="104">
        <f t="shared" si="1"/>
        <v>-2507</v>
      </c>
      <c r="I38" s="103">
        <f t="shared" si="2"/>
        <v>2413.7931034482758</v>
      </c>
      <c r="J38" s="104">
        <f t="shared" si="3"/>
        <v>-4920.7931034482754</v>
      </c>
      <c r="K38" s="105">
        <f t="shared" si="4"/>
        <v>3459.2068965517242</v>
      </c>
    </row>
    <row r="39" spans="1:11">
      <c r="A39" s="57" t="str">
        <f>+'DETAIL CA MOIS'!B42</f>
        <v>CLIO</v>
      </c>
      <c r="B39" s="57" t="str">
        <f>+'DETAIL CA MOIS'!C42</f>
        <v>55449-D-26</v>
      </c>
      <c r="C39" s="58">
        <f>+'DETAIL CA MOIS'!D42</f>
        <v>0</v>
      </c>
      <c r="D39" s="58">
        <f>+'DETAIL CA MOIS'!E42</f>
        <v>0</v>
      </c>
      <c r="E39" s="58">
        <f>+'DETAIL CA MOIS'!F42</f>
        <v>0</v>
      </c>
      <c r="F39" s="98"/>
      <c r="G39" s="103"/>
      <c r="H39" s="104">
        <f t="shared" si="1"/>
        <v>0</v>
      </c>
      <c r="I39" s="103">
        <f t="shared" si="2"/>
        <v>2413.7931034482758</v>
      </c>
      <c r="J39" s="104">
        <f t="shared" si="3"/>
        <v>-2413.7931034482758</v>
      </c>
      <c r="K39" s="105">
        <f t="shared" si="4"/>
        <v>-2413.7931034482758</v>
      </c>
    </row>
    <row r="40" spans="1:11">
      <c r="A40" s="57" t="str">
        <f>+'DETAIL CA MOIS'!B43</f>
        <v>VW PASSAT</v>
      </c>
      <c r="B40" s="57" t="str">
        <f>+'DETAIL CA MOIS'!C43</f>
        <v>M166303</v>
      </c>
      <c r="C40" s="58">
        <f>+'DETAIL CA MOIS'!D43</f>
        <v>1896</v>
      </c>
      <c r="D40" s="58">
        <f>+'DETAIL CA MOIS'!E43</f>
        <v>0</v>
      </c>
      <c r="E40" s="58">
        <f>+'DETAIL CA MOIS'!F43</f>
        <v>1896</v>
      </c>
      <c r="F40" s="210">
        <f>+C40*0.15</f>
        <v>284.39999999999998</v>
      </c>
      <c r="G40" s="103"/>
      <c r="H40" s="104">
        <f t="shared" si="1"/>
        <v>-284.39999999999998</v>
      </c>
      <c r="I40" s="103">
        <f t="shared" si="2"/>
        <v>2413.7931034482758</v>
      </c>
      <c r="J40" s="104">
        <f t="shared" si="3"/>
        <v>-2698.1931034482759</v>
      </c>
      <c r="K40" s="105">
        <f t="shared" si="4"/>
        <v>-2413.7931034482758</v>
      </c>
    </row>
    <row r="41" spans="1:11">
      <c r="A41" s="57" t="str">
        <f>+'DETAIL CA MOIS'!B44</f>
        <v>RENAULT MASTER HARB</v>
      </c>
      <c r="B41" s="57" t="str">
        <f>+'DETAIL CA MOIS'!C44</f>
        <v>J0248320</v>
      </c>
      <c r="C41" s="58">
        <f>+'DETAIL CA MOIS'!D44</f>
        <v>8380</v>
      </c>
      <c r="D41" s="58">
        <f>+'DETAIL CA MOIS'!E44</f>
        <v>0</v>
      </c>
      <c r="E41" s="58">
        <f>+'DETAIL CA MOIS'!F44</f>
        <v>8380</v>
      </c>
      <c r="F41" s="210">
        <f>+C41*0.15+1250</f>
        <v>2507</v>
      </c>
      <c r="G41" s="103"/>
      <c r="H41" s="104">
        <f t="shared" si="1"/>
        <v>-2507</v>
      </c>
      <c r="I41" s="103">
        <f t="shared" si="2"/>
        <v>2413.7931034482758</v>
      </c>
      <c r="J41" s="104">
        <f t="shared" si="3"/>
        <v>-4920.7931034482754</v>
      </c>
      <c r="K41" s="105">
        <f t="shared" si="4"/>
        <v>-2413.7931034482758</v>
      </c>
    </row>
    <row r="42" spans="1:11">
      <c r="A42" s="57" t="str">
        <f>+'DETAIL CA MOIS'!B45</f>
        <v>MITSUBISHI PAJERO SPORT HARB</v>
      </c>
      <c r="B42" s="57" t="str">
        <f>+'DETAIL CA MOIS'!C45</f>
        <v>J219569</v>
      </c>
      <c r="C42" s="58">
        <f>+'DETAIL CA MOIS'!D45</f>
        <v>8380</v>
      </c>
      <c r="D42" s="58">
        <f>+'DETAIL CA MOIS'!E45</f>
        <v>0</v>
      </c>
      <c r="E42" s="58">
        <f>+'DETAIL CA MOIS'!F45</f>
        <v>8380</v>
      </c>
      <c r="F42" s="210">
        <f>+C42*0.15+1250</f>
        <v>2507</v>
      </c>
      <c r="G42" s="103"/>
      <c r="H42" s="104">
        <f t="shared" si="1"/>
        <v>-2507</v>
      </c>
      <c r="I42" s="103">
        <f t="shared" si="2"/>
        <v>2413.7931034482758</v>
      </c>
      <c r="J42" s="104">
        <f t="shared" si="3"/>
        <v>-4920.7931034482754</v>
      </c>
      <c r="K42" s="105">
        <f t="shared" si="4"/>
        <v>-2413.7931034482758</v>
      </c>
    </row>
    <row r="43" spans="1:11">
      <c r="A43" s="57" t="str">
        <f>+'DETAIL CA MOIS'!B46</f>
        <v>MERCEDES</v>
      </c>
      <c r="B43" s="57" t="str">
        <f>+'DETAIL CA MOIS'!C46</f>
        <v>76786-B-26</v>
      </c>
      <c r="C43" s="58">
        <f>+'DETAIL CA MOIS'!D46</f>
        <v>0</v>
      </c>
      <c r="D43" s="58">
        <f>+'DETAIL CA MOIS'!E46</f>
        <v>0</v>
      </c>
      <c r="E43" s="58">
        <f>+'DETAIL CA MOIS'!F46</f>
        <v>0</v>
      </c>
      <c r="F43" s="210">
        <f>+C43*0.15+200+750</f>
        <v>950</v>
      </c>
      <c r="G43" s="103"/>
      <c r="H43" s="104">
        <f t="shared" si="1"/>
        <v>-950</v>
      </c>
      <c r="I43" s="103">
        <f t="shared" si="2"/>
        <v>2413.7931034482758</v>
      </c>
      <c r="J43" s="104">
        <f t="shared" si="3"/>
        <v>-3363.7931034482758</v>
      </c>
      <c r="K43" s="105">
        <f t="shared" si="4"/>
        <v>-2413.7931034482758</v>
      </c>
    </row>
    <row r="44" spans="1:11">
      <c r="A44" s="57" t="str">
        <f>+'DETAIL CA MOIS'!B47</f>
        <v>RENAULT MASTER HARB</v>
      </c>
      <c r="B44" s="57" t="str">
        <f>+'DETAIL CA MOIS'!C47</f>
        <v>J0248320</v>
      </c>
      <c r="C44" s="58">
        <f>+'DETAIL CA MOIS'!D47</f>
        <v>3747</v>
      </c>
      <c r="D44" s="58">
        <f>+'DETAIL CA MOIS'!E47</f>
        <v>0</v>
      </c>
      <c r="E44" s="58">
        <f>+'DETAIL CA MOIS'!F47</f>
        <v>3747</v>
      </c>
      <c r="F44" s="103">
        <f>+C44*0.15</f>
        <v>562.04999999999995</v>
      </c>
      <c r="G44" s="103">
        <f t="shared" si="0"/>
        <v>3184.95</v>
      </c>
      <c r="H44" s="104">
        <f t="shared" si="1"/>
        <v>-562.04999999999995</v>
      </c>
      <c r="I44" s="103">
        <f t="shared" si="2"/>
        <v>2413.7931034482758</v>
      </c>
      <c r="J44" s="104">
        <f t="shared" si="3"/>
        <v>-2975.8431034482755</v>
      </c>
      <c r="K44" s="105">
        <f t="shared" si="4"/>
        <v>771.156896551724</v>
      </c>
    </row>
    <row r="45" spans="1:11">
      <c r="A45" s="57" t="str">
        <f>+'DETAIL CA MOIS'!B48</f>
        <v>MITSUBISHI PAJERO SPORT HARB</v>
      </c>
      <c r="B45" s="57" t="str">
        <f>+'DETAIL CA MOIS'!C48</f>
        <v>J219569</v>
      </c>
      <c r="C45" s="58">
        <f>+'DETAIL CA MOIS'!D48</f>
        <v>19290</v>
      </c>
      <c r="D45" s="58">
        <f>+'DETAIL CA MOIS'!E48</f>
        <v>0</v>
      </c>
      <c r="E45" s="58">
        <f>+'DETAIL CA MOIS'!F48</f>
        <v>19290</v>
      </c>
      <c r="F45" s="103">
        <f>+C45*0.15+500+50</f>
        <v>3443.5</v>
      </c>
      <c r="G45" s="103"/>
      <c r="H45" s="104"/>
      <c r="I45" s="103">
        <f t="shared" ref="I45:I58" si="5">50000/32</f>
        <v>1562.5</v>
      </c>
      <c r="J45" s="104">
        <f t="shared" si="3"/>
        <v>-1562.5</v>
      </c>
      <c r="K45" s="105">
        <f t="shared" si="4"/>
        <v>-1562.5</v>
      </c>
    </row>
    <row r="46" spans="1:11">
      <c r="A46" s="57" t="str">
        <f>+'DETAIL CA MOIS'!B49</f>
        <v>PEUGEOT 208</v>
      </c>
      <c r="B46" s="57" t="str">
        <f>+'DETAIL CA MOIS'!C49</f>
        <v>80130-B-26</v>
      </c>
      <c r="C46" s="58">
        <f>+'DETAIL CA MOIS'!D49</f>
        <v>0</v>
      </c>
      <c r="D46" s="58">
        <f>+'DETAIL CA MOIS'!E49</f>
        <v>0</v>
      </c>
      <c r="E46" s="58">
        <f>+'DETAIL CA MOIS'!F59</f>
        <v>0</v>
      </c>
      <c r="F46" s="59"/>
      <c r="G46" s="59">
        <f t="shared" si="0"/>
        <v>0</v>
      </c>
      <c r="H46" s="60">
        <f t="shared" ref="H46:H58" si="6">+D46-F46</f>
        <v>0</v>
      </c>
      <c r="I46" s="59">
        <f t="shared" si="5"/>
        <v>1562.5</v>
      </c>
      <c r="J46" s="60">
        <f t="shared" si="3"/>
        <v>-1562.5</v>
      </c>
      <c r="K46" s="61">
        <f t="shared" si="4"/>
        <v>-1562.5</v>
      </c>
    </row>
    <row r="47" spans="1:11">
      <c r="A47" s="57" t="str">
        <f>+'DETAIL CA MOIS'!B50</f>
        <v>PEUGEOT BOXER</v>
      </c>
      <c r="B47" s="57" t="str">
        <f>+'DETAIL CA MOIS'!C50</f>
        <v>M234914</v>
      </c>
      <c r="C47" s="58">
        <f>+'DETAIL CA MOIS'!D60</f>
        <v>0</v>
      </c>
      <c r="D47" s="58">
        <f>+'DETAIL CA MOIS'!E60</f>
        <v>0</v>
      </c>
      <c r="E47" s="58">
        <f>+'DETAIL CA MOIS'!F60</f>
        <v>0</v>
      </c>
      <c r="F47" s="59"/>
      <c r="G47" s="59">
        <f>C47-F47</f>
        <v>0</v>
      </c>
      <c r="H47" s="60">
        <f t="shared" si="6"/>
        <v>0</v>
      </c>
      <c r="I47" s="59">
        <f t="shared" si="5"/>
        <v>1562.5</v>
      </c>
      <c r="J47" s="60">
        <f t="shared" si="3"/>
        <v>-1562.5</v>
      </c>
      <c r="K47" s="61">
        <f t="shared" si="4"/>
        <v>-1562.5</v>
      </c>
    </row>
    <row r="48" spans="1:11">
      <c r="A48" s="57">
        <f>+'DETAIL CA MOIS'!B61</f>
        <v>0</v>
      </c>
      <c r="B48" s="57">
        <f>+'DETAIL CA MOIS'!C61</f>
        <v>0</v>
      </c>
      <c r="C48" s="58">
        <f>+'DETAIL CA MOIS'!D61</f>
        <v>0</v>
      </c>
      <c r="D48" s="58">
        <f>+'DETAIL CA MOIS'!E61</f>
        <v>0</v>
      </c>
      <c r="E48" s="58">
        <f>+'DETAIL CA MOIS'!F61</f>
        <v>0</v>
      </c>
      <c r="F48" s="59"/>
      <c r="G48" s="59">
        <f t="shared" si="0"/>
        <v>0</v>
      </c>
      <c r="H48" s="60">
        <f t="shared" si="6"/>
        <v>0</v>
      </c>
      <c r="I48" s="59">
        <f t="shared" si="5"/>
        <v>1562.5</v>
      </c>
      <c r="J48" s="60">
        <f t="shared" si="3"/>
        <v>-1562.5</v>
      </c>
      <c r="K48" s="61">
        <f t="shared" si="4"/>
        <v>-1562.5</v>
      </c>
    </row>
    <row r="49" spans="1:11">
      <c r="A49" s="57">
        <f>+'DETAIL CA MOIS'!B62</f>
        <v>0</v>
      </c>
      <c r="B49" s="57">
        <f>+'DETAIL CA MOIS'!C62</f>
        <v>0</v>
      </c>
      <c r="C49" s="58">
        <f>+'DETAIL CA MOIS'!D62</f>
        <v>0</v>
      </c>
      <c r="D49" s="58">
        <f>+'DETAIL CA MOIS'!E62</f>
        <v>0</v>
      </c>
      <c r="E49" s="58">
        <f>+'DETAIL CA MOIS'!F62</f>
        <v>0</v>
      </c>
      <c r="F49" s="59"/>
      <c r="G49" s="59">
        <f t="shared" si="0"/>
        <v>0</v>
      </c>
      <c r="H49" s="60">
        <f t="shared" si="6"/>
        <v>0</v>
      </c>
      <c r="I49" s="59">
        <f t="shared" si="5"/>
        <v>1562.5</v>
      </c>
      <c r="J49" s="60">
        <f t="shared" si="3"/>
        <v>-1562.5</v>
      </c>
      <c r="K49" s="61">
        <f t="shared" si="4"/>
        <v>-1562.5</v>
      </c>
    </row>
    <row r="50" spans="1:11">
      <c r="A50" s="57">
        <f>+'DETAIL CA MOIS'!B63</f>
        <v>0</v>
      </c>
      <c r="B50" s="57">
        <f>+'DETAIL CA MOIS'!C63</f>
        <v>0</v>
      </c>
      <c r="C50" s="58">
        <f>+'DETAIL CA MOIS'!D63</f>
        <v>0</v>
      </c>
      <c r="D50" s="58">
        <f>+'DETAIL CA MOIS'!E63</f>
        <v>0</v>
      </c>
      <c r="E50" s="58">
        <f>+'DETAIL CA MOIS'!F63</f>
        <v>0</v>
      </c>
      <c r="F50" s="59"/>
      <c r="G50" s="59">
        <f t="shared" si="0"/>
        <v>0</v>
      </c>
      <c r="H50" s="60">
        <f t="shared" si="6"/>
        <v>0</v>
      </c>
      <c r="I50" s="59">
        <f t="shared" si="5"/>
        <v>1562.5</v>
      </c>
      <c r="J50" s="60">
        <f t="shared" si="3"/>
        <v>-1562.5</v>
      </c>
      <c r="K50" s="61">
        <f t="shared" si="4"/>
        <v>-1562.5</v>
      </c>
    </row>
    <row r="51" spans="1:11">
      <c r="A51" s="57">
        <f>+'DETAIL CA MOIS'!B64</f>
        <v>0</v>
      </c>
      <c r="B51" s="57">
        <f>+'DETAIL CA MOIS'!C64</f>
        <v>0</v>
      </c>
      <c r="C51" s="58">
        <f>+'DETAIL CA MOIS'!D64</f>
        <v>0</v>
      </c>
      <c r="D51" s="58">
        <f>+'DETAIL CA MOIS'!E64</f>
        <v>0</v>
      </c>
      <c r="E51" s="58">
        <f>+'DETAIL CA MOIS'!F64</f>
        <v>0</v>
      </c>
      <c r="F51" s="59"/>
      <c r="G51" s="59">
        <f t="shared" si="0"/>
        <v>0</v>
      </c>
      <c r="H51" s="60">
        <f t="shared" si="6"/>
        <v>0</v>
      </c>
      <c r="I51" s="59">
        <f t="shared" si="5"/>
        <v>1562.5</v>
      </c>
      <c r="J51" s="60">
        <f t="shared" si="3"/>
        <v>-1562.5</v>
      </c>
      <c r="K51" s="61">
        <f t="shared" si="4"/>
        <v>-1562.5</v>
      </c>
    </row>
    <row r="52" spans="1:11">
      <c r="A52" s="57">
        <f>+'DETAIL CA MOIS'!B65</f>
        <v>0</v>
      </c>
      <c r="B52" s="57">
        <f>+'DETAIL CA MOIS'!C65</f>
        <v>0</v>
      </c>
      <c r="C52" s="58">
        <f>+'DETAIL CA MOIS'!D65</f>
        <v>0</v>
      </c>
      <c r="D52" s="58">
        <f>+'DETAIL CA MOIS'!E65</f>
        <v>0</v>
      </c>
      <c r="E52" s="58">
        <f>+'DETAIL CA MOIS'!F65</f>
        <v>0</v>
      </c>
      <c r="F52" s="59"/>
      <c r="G52" s="59">
        <f t="shared" si="0"/>
        <v>0</v>
      </c>
      <c r="H52" s="60">
        <f t="shared" si="6"/>
        <v>0</v>
      </c>
      <c r="I52" s="59">
        <f t="shared" si="5"/>
        <v>1562.5</v>
      </c>
      <c r="J52" s="60">
        <f t="shared" si="3"/>
        <v>-1562.5</v>
      </c>
      <c r="K52" s="61">
        <f t="shared" si="4"/>
        <v>-1562.5</v>
      </c>
    </row>
    <row r="53" spans="1:11">
      <c r="A53" s="57">
        <f>+'DETAIL CA MOIS'!B66</f>
        <v>0</v>
      </c>
      <c r="B53" s="57">
        <f>+'DETAIL CA MOIS'!C66</f>
        <v>0</v>
      </c>
      <c r="C53" s="58">
        <f>+'DETAIL CA MOIS'!D66</f>
        <v>0</v>
      </c>
      <c r="D53" s="58">
        <f>+'DETAIL CA MOIS'!E66</f>
        <v>0</v>
      </c>
      <c r="E53" s="58">
        <f>+'DETAIL CA MOIS'!F66</f>
        <v>0</v>
      </c>
      <c r="F53" s="59"/>
      <c r="G53" s="59">
        <f t="shared" si="0"/>
        <v>0</v>
      </c>
      <c r="H53" s="60">
        <f t="shared" si="6"/>
        <v>0</v>
      </c>
      <c r="I53" s="59">
        <f t="shared" si="5"/>
        <v>1562.5</v>
      </c>
      <c r="J53" s="60">
        <f t="shared" si="3"/>
        <v>-1562.5</v>
      </c>
      <c r="K53" s="61">
        <f t="shared" si="4"/>
        <v>-1562.5</v>
      </c>
    </row>
    <row r="54" spans="1:11">
      <c r="A54" s="57">
        <f>+'DETAIL CA MOIS'!B67</f>
        <v>0</v>
      </c>
      <c r="B54" s="57">
        <f>+'DETAIL CA MOIS'!C67</f>
        <v>0</v>
      </c>
      <c r="C54" s="58">
        <f>+'DETAIL CA MOIS'!D67</f>
        <v>0</v>
      </c>
      <c r="D54" s="58">
        <f>+'DETAIL CA MOIS'!E67</f>
        <v>0</v>
      </c>
      <c r="E54" s="58">
        <f>+'DETAIL CA MOIS'!F67</f>
        <v>0</v>
      </c>
      <c r="F54" s="59"/>
      <c r="G54" s="59">
        <f t="shared" si="0"/>
        <v>0</v>
      </c>
      <c r="H54" s="60">
        <f t="shared" si="6"/>
        <v>0</v>
      </c>
      <c r="I54" s="59">
        <f t="shared" si="5"/>
        <v>1562.5</v>
      </c>
      <c r="J54" s="60">
        <f t="shared" si="3"/>
        <v>-1562.5</v>
      </c>
      <c r="K54" s="61">
        <f t="shared" si="4"/>
        <v>-1562.5</v>
      </c>
    </row>
    <row r="55" spans="1:11">
      <c r="A55" s="57">
        <f>+'DETAIL CA MOIS'!B68</f>
        <v>0</v>
      </c>
      <c r="B55" s="57">
        <f>+'DETAIL CA MOIS'!C68</f>
        <v>0</v>
      </c>
      <c r="C55" s="58">
        <f>+'DETAIL CA MOIS'!D68</f>
        <v>0</v>
      </c>
      <c r="D55" s="58">
        <f>+'DETAIL CA MOIS'!E68</f>
        <v>0</v>
      </c>
      <c r="E55" s="58">
        <f>+'DETAIL CA MOIS'!F68</f>
        <v>0</v>
      </c>
      <c r="F55" s="59"/>
      <c r="G55" s="59">
        <f t="shared" si="0"/>
        <v>0</v>
      </c>
      <c r="H55" s="60">
        <f t="shared" si="6"/>
        <v>0</v>
      </c>
      <c r="I55" s="59">
        <f t="shared" si="5"/>
        <v>1562.5</v>
      </c>
      <c r="J55" s="60">
        <f t="shared" si="3"/>
        <v>-1562.5</v>
      </c>
      <c r="K55" s="61">
        <f t="shared" si="4"/>
        <v>-1562.5</v>
      </c>
    </row>
    <row r="56" spans="1:11">
      <c r="A56" s="57">
        <f>+'DETAIL CA MOIS'!B69</f>
        <v>0</v>
      </c>
      <c r="B56" s="57">
        <f>+'DETAIL CA MOIS'!C69</f>
        <v>0</v>
      </c>
      <c r="C56" s="58">
        <f>+'DETAIL CA MOIS'!D69</f>
        <v>0</v>
      </c>
      <c r="D56" s="58">
        <f>+'DETAIL CA MOIS'!E69</f>
        <v>0</v>
      </c>
      <c r="E56" s="58">
        <f>+'DETAIL CA MOIS'!F69</f>
        <v>0</v>
      </c>
      <c r="F56" s="59"/>
      <c r="G56" s="59">
        <f t="shared" si="0"/>
        <v>0</v>
      </c>
      <c r="H56" s="60">
        <f t="shared" si="6"/>
        <v>0</v>
      </c>
      <c r="I56" s="59">
        <f t="shared" si="5"/>
        <v>1562.5</v>
      </c>
      <c r="J56" s="60">
        <f t="shared" si="3"/>
        <v>-1562.5</v>
      </c>
      <c r="K56" s="61">
        <f t="shared" si="4"/>
        <v>-1562.5</v>
      </c>
    </row>
    <row r="57" spans="1:11">
      <c r="A57" s="57">
        <f>+'DETAIL CA MOIS'!B70</f>
        <v>0</v>
      </c>
      <c r="B57" s="57">
        <f>+'DETAIL CA MOIS'!C70</f>
        <v>0</v>
      </c>
      <c r="C57" s="58">
        <f>+'DETAIL CA MOIS'!D70</f>
        <v>0</v>
      </c>
      <c r="D57" s="58">
        <f>+'DETAIL CA MOIS'!E70</f>
        <v>0</v>
      </c>
      <c r="E57" s="58">
        <f>+'DETAIL CA MOIS'!F70</f>
        <v>0</v>
      </c>
      <c r="F57" s="59"/>
      <c r="G57" s="59">
        <f t="shared" si="0"/>
        <v>0</v>
      </c>
      <c r="H57" s="60">
        <f t="shared" si="6"/>
        <v>0</v>
      </c>
      <c r="I57" s="59">
        <f t="shared" si="5"/>
        <v>1562.5</v>
      </c>
      <c r="J57" s="60">
        <f t="shared" si="3"/>
        <v>-1562.5</v>
      </c>
      <c r="K57" s="61">
        <f t="shared" si="4"/>
        <v>-1562.5</v>
      </c>
    </row>
    <row r="58" spans="1:11">
      <c r="A58" s="57">
        <f>+'DETAIL CA MOIS'!B71</f>
        <v>0</v>
      </c>
      <c r="B58" s="57">
        <f>+'DETAIL CA MOIS'!C71</f>
        <v>0</v>
      </c>
      <c r="C58" s="58">
        <f>+'DETAIL CA MOIS'!D71</f>
        <v>0</v>
      </c>
      <c r="D58" s="58">
        <f>+'DETAIL CA MOIS'!E71</f>
        <v>0</v>
      </c>
      <c r="E58" s="58">
        <f>+'DETAIL CA MOIS'!F71</f>
        <v>0</v>
      </c>
      <c r="F58" s="59"/>
      <c r="G58" s="63">
        <f t="shared" si="0"/>
        <v>0</v>
      </c>
      <c r="H58" s="60">
        <f t="shared" si="6"/>
        <v>0</v>
      </c>
      <c r="I58" s="59">
        <f t="shared" si="5"/>
        <v>1562.5</v>
      </c>
      <c r="J58" s="60">
        <f t="shared" si="3"/>
        <v>-1562.5</v>
      </c>
      <c r="K58" s="61">
        <f t="shared" si="4"/>
        <v>-1562.5</v>
      </c>
    </row>
    <row r="59" spans="1:11">
      <c r="A59" s="62"/>
      <c r="B59" s="62"/>
      <c r="C59" s="62"/>
      <c r="D59" s="62"/>
      <c r="E59" s="62"/>
      <c r="F59" s="59"/>
      <c r="G59" s="64"/>
      <c r="H59" s="62"/>
      <c r="I59" s="62"/>
      <c r="J59" s="62"/>
      <c r="K59" s="62"/>
    </row>
    <row r="60" spans="1:11">
      <c r="A60" s="62"/>
      <c r="B60" s="62"/>
      <c r="C60" s="62"/>
      <c r="D60" s="62"/>
      <c r="E60" s="62"/>
      <c r="F60" s="59"/>
      <c r="G60" s="64"/>
      <c r="H60" s="62"/>
      <c r="I60" s="62"/>
      <c r="J60" s="62"/>
      <c r="K60" s="62"/>
    </row>
    <row r="61" spans="1:11">
      <c r="A61" s="62"/>
      <c r="B61" s="62"/>
      <c r="C61" s="62"/>
      <c r="D61" s="62"/>
      <c r="E61" s="62"/>
      <c r="F61" s="59"/>
      <c r="G61" s="64"/>
      <c r="H61" s="62"/>
      <c r="I61" s="62"/>
      <c r="J61" s="62"/>
      <c r="K61" s="62"/>
    </row>
    <row r="62" spans="1:11">
      <c r="A62" s="62"/>
      <c r="B62" s="62"/>
      <c r="C62" s="62"/>
      <c r="D62" s="62"/>
      <c r="E62" s="62"/>
      <c r="F62" s="59"/>
      <c r="G62" s="64"/>
      <c r="H62" s="62"/>
      <c r="I62" s="62"/>
      <c r="J62" s="62"/>
      <c r="K62" s="62"/>
    </row>
    <row r="63" spans="1:11">
      <c r="A63" s="62"/>
      <c r="B63" s="62"/>
      <c r="C63" s="62"/>
      <c r="D63" s="62"/>
      <c r="E63" s="62"/>
      <c r="F63" s="59"/>
      <c r="G63" s="64"/>
      <c r="H63" s="62"/>
      <c r="I63" s="62"/>
      <c r="J63" s="62"/>
      <c r="K63" s="62"/>
    </row>
    <row r="64" spans="1:11">
      <c r="A64" s="62"/>
      <c r="B64" s="62"/>
      <c r="C64" s="62"/>
      <c r="D64" s="62"/>
      <c r="E64" s="62"/>
      <c r="F64" s="59"/>
      <c r="G64" s="64"/>
      <c r="H64" s="62"/>
      <c r="I64" s="62"/>
      <c r="J64" s="62"/>
      <c r="K64" s="62"/>
    </row>
    <row r="65" spans="1:11">
      <c r="A65" s="26"/>
      <c r="B65" s="26"/>
      <c r="C65" s="26"/>
      <c r="D65" s="26"/>
      <c r="E65" s="26"/>
      <c r="F65" s="26"/>
      <c r="H65" s="26"/>
      <c r="I65" s="26"/>
      <c r="J65" s="26"/>
      <c r="K65" s="26"/>
    </row>
    <row r="66" spans="1:11">
      <c r="H66" s="26"/>
      <c r="I66" s="26"/>
      <c r="J66" s="26"/>
      <c r="K66" s="26"/>
    </row>
  </sheetData>
  <mergeCells count="1">
    <mergeCell ref="C1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2:K11"/>
  <sheetViews>
    <sheetView workbookViewId="0">
      <selection activeCell="B3" sqref="B3"/>
    </sheetView>
  </sheetViews>
  <sheetFormatPr baseColWidth="10" defaultRowHeight="15"/>
  <cols>
    <col min="1" max="1" width="17.85546875" customWidth="1"/>
    <col min="2" max="2" width="12.85546875" bestFit="1" customWidth="1"/>
    <col min="8" max="8" width="19.42578125" customWidth="1"/>
    <col min="9" max="9" width="11.85546875" bestFit="1" customWidth="1"/>
    <col min="11" max="11" width="11.85546875" bestFit="1" customWidth="1"/>
  </cols>
  <sheetData>
    <row r="2" spans="1:11">
      <c r="D2" s="100" t="s">
        <v>42</v>
      </c>
      <c r="E2" t="s">
        <v>43</v>
      </c>
      <c r="H2" s="35" t="s">
        <v>136</v>
      </c>
      <c r="I2" s="145">
        <f>+'DETAIL CA MOIS'!D16+'DETAIL CA MOIS'!D24</f>
        <v>5604</v>
      </c>
    </row>
    <row r="3" spans="1:11">
      <c r="A3" s="33" t="s">
        <v>29</v>
      </c>
      <c r="B3" s="32">
        <f>+'DETAIL CA MOIS'!D15+'DETAIL CA MOIS'!D16+'DETAIL CA MOIS'!D17+'DETAIL CA MOIS'!D18+'DETAIL CA MOIS'!D19+'DETAIL CA MOIS'!D20+'DETAIL CA MOIS'!D22+'DETAIL CA MOIS'!D23+'DETAIL CA MOIS'!D24+'DETAIL CA MOIS'!D25+'DETAIL CA MOIS'!D28+'DETAIL CA MOIS'!D29+'DETAIL CA MOIS'!D30+'DETAIL CA MOIS'!D31+'DETAIL CA MOIS'!D33+'DETAIL CA MOIS'!D35</f>
        <v>82290.2</v>
      </c>
      <c r="C3" s="19">
        <f>+B3/B5</f>
        <v>0.87551893708067441</v>
      </c>
      <c r="D3" s="100">
        <v>16</v>
      </c>
      <c r="E3" s="15">
        <f>+B3/D3</f>
        <v>5143.1374999999998</v>
      </c>
      <c r="H3" s="35" t="s">
        <v>31</v>
      </c>
      <c r="I3" s="16">
        <f>+'DETAIL CA MOIS'!D15+'DETAIL CA MOIS'!D19+'DETAIL CA MOIS'!D20+'DETAIL CA MOIS'!D23+'DETAIL CA MOIS'!D29+'DETAIL CA MOIS'!D33+'DETAIL CA MOIS'!D35</f>
        <v>43681</v>
      </c>
      <c r="J3" s="20">
        <f>+I3/B3</f>
        <v>0.53081654923672561</v>
      </c>
      <c r="K3" s="16">
        <f>+'DETAIL CA MOIS'!D38+'DETAIL CA MOIS'!D39</f>
        <v>18342</v>
      </c>
    </row>
    <row r="4" spans="1:11">
      <c r="A4" s="34" t="s">
        <v>30</v>
      </c>
      <c r="B4" s="32">
        <f>+'DETAIL CA MOIS'!D13+'DETAIL CA MOIS'!D14+'DETAIL CA MOIS'!D21+'DETAIL CA MOIS'!D26+'DETAIL CA MOIS'!D27+'DETAIL CA MOIS'!D32</f>
        <v>11700</v>
      </c>
      <c r="C4" s="19">
        <f>+B4/B5</f>
        <v>0.12448106291932563</v>
      </c>
      <c r="D4" s="100">
        <v>7</v>
      </c>
      <c r="E4" s="15">
        <f t="shared" ref="E4:E5" si="0">+B4/D4</f>
        <v>1671.4285714285713</v>
      </c>
      <c r="H4" s="35" t="s">
        <v>32</v>
      </c>
      <c r="I4" s="16"/>
      <c r="J4" s="20">
        <f>+I4/B3</f>
        <v>0</v>
      </c>
      <c r="K4" s="16"/>
    </row>
    <row r="5" spans="1:11">
      <c r="B5" s="32">
        <f>SUM(B3:B4)</f>
        <v>93990.2</v>
      </c>
      <c r="C5" s="19">
        <f>SUM(C3:C4)</f>
        <v>1</v>
      </c>
      <c r="D5" s="100">
        <f>SUM(D3:D4)</f>
        <v>23</v>
      </c>
      <c r="E5" s="15">
        <f t="shared" si="0"/>
        <v>4086.5304347826086</v>
      </c>
      <c r="H5" s="35" t="s">
        <v>33</v>
      </c>
      <c r="I5" s="16">
        <f>+'DETAIL CA MOIS'!D17+'DETAIL CA MOIS'!D18+'DETAIL CA MOIS'!D25+'DETAIL CA MOIS'!D28+'DETAIL CA MOIS'!D30+'DETAIL CA MOIS'!D31</f>
        <v>31085.200000000001</v>
      </c>
      <c r="J5" s="20">
        <f>+I5/B3</f>
        <v>0.3777509351052738</v>
      </c>
      <c r="K5" s="16"/>
    </row>
    <row r="6" spans="1:11">
      <c r="H6" s="35" t="s">
        <v>34</v>
      </c>
      <c r="J6" s="20">
        <f>+I6/B3</f>
        <v>0</v>
      </c>
    </row>
    <row r="7" spans="1:11">
      <c r="H7" s="35" t="s">
        <v>36</v>
      </c>
      <c r="I7" s="16"/>
      <c r="J7" s="20">
        <f>+I7/B3</f>
        <v>0</v>
      </c>
      <c r="K7" s="16"/>
    </row>
    <row r="8" spans="1:11">
      <c r="I8" s="16">
        <f>SUM(I2:I7)</f>
        <v>80370.2</v>
      </c>
      <c r="J8" s="20">
        <f>SUM(J3:J7)</f>
        <v>0.90856748434199941</v>
      </c>
    </row>
    <row r="9" spans="1:11">
      <c r="J9" s="16"/>
      <c r="K9" s="16"/>
    </row>
    <row r="10" spans="1:11">
      <c r="I10" s="15"/>
    </row>
    <row r="11" spans="1:11">
      <c r="I11" s="15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JOURNAL DE CAISSE</vt:lpstr>
      <vt:lpstr>SALAIRES</vt:lpstr>
      <vt:lpstr>DETAIL CA MOIS</vt:lpstr>
      <vt:lpstr>BCE</vt:lpstr>
      <vt:lpstr>REPART 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anas</cp:lastModifiedBy>
  <dcterms:created xsi:type="dcterms:W3CDTF">2015-06-05T18:19:34Z</dcterms:created>
  <dcterms:modified xsi:type="dcterms:W3CDTF">2026-04-29T11:46:44Z</dcterms:modified>
</cp:coreProperties>
</file>