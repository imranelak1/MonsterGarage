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nas\Desktop\Monster garage\29-04-2026\"/>
    </mc:Choice>
  </mc:AlternateContent>
  <bookViews>
    <workbookView xWindow="-120" yWindow="-120" windowWidth="29040" windowHeight="15840" activeTab="4"/>
  </bookViews>
  <sheets>
    <sheet name="DEVIS WMS" sheetId="4" r:id="rId1"/>
    <sheet name="DEVIS AMANE AUTO" sheetId="7" r:id="rId2"/>
    <sheet name="DEVIS C RENOVA" sheetId="5" r:id="rId3"/>
    <sheet name="FACTURE" sheetId="3" r:id="rId4"/>
    <sheet name="BON LIVRAISON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6" l="1"/>
  <c r="C24" i="6"/>
  <c r="C25" i="6"/>
  <c r="C26" i="6"/>
  <c r="C27" i="6"/>
  <c r="C28" i="6"/>
  <c r="C29" i="6"/>
  <c r="C30" i="6"/>
  <c r="B23" i="6" l="1"/>
  <c r="B24" i="6"/>
  <c r="B25" i="6"/>
  <c r="B26" i="6"/>
  <c r="B27" i="6"/>
  <c r="B28" i="6"/>
  <c r="B29" i="6"/>
  <c r="B30" i="6"/>
  <c r="B23" i="3"/>
  <c r="B24" i="3"/>
  <c r="B25" i="3"/>
  <c r="B26" i="3"/>
  <c r="B27" i="3"/>
  <c r="B28" i="3"/>
  <c r="B29" i="3"/>
  <c r="B30" i="3"/>
  <c r="E23" i="3"/>
  <c r="F23" i="3" s="1"/>
  <c r="E24" i="3"/>
  <c r="E25" i="3"/>
  <c r="E26" i="3"/>
  <c r="E27" i="3"/>
  <c r="F27" i="3" s="1"/>
  <c r="E28" i="3"/>
  <c r="F28" i="3" s="1"/>
  <c r="E29" i="3"/>
  <c r="F29" i="3" s="1"/>
  <c r="E30" i="3"/>
  <c r="F30" i="3" s="1"/>
  <c r="C23" i="3"/>
  <c r="C24" i="3"/>
  <c r="C25" i="3"/>
  <c r="C26" i="3"/>
  <c r="C27" i="3"/>
  <c r="C28" i="3"/>
  <c r="C29" i="3"/>
  <c r="C30" i="3"/>
  <c r="F23" i="5"/>
  <c r="F24" i="5"/>
  <c r="F25" i="5"/>
  <c r="F26" i="5"/>
  <c r="F27" i="5"/>
  <c r="F28" i="5"/>
  <c r="F29" i="5"/>
  <c r="F30" i="5"/>
  <c r="F31" i="5"/>
  <c r="F17" i="7"/>
  <c r="F18" i="7"/>
  <c r="F19" i="7"/>
  <c r="F20" i="7"/>
  <c r="F21" i="7"/>
  <c r="F22" i="7"/>
  <c r="F23" i="7"/>
  <c r="F24" i="7"/>
  <c r="F25" i="7"/>
  <c r="F17" i="4"/>
  <c r="F18" i="4"/>
  <c r="F19" i="4"/>
  <c r="F21" i="4"/>
  <c r="F23" i="4"/>
  <c r="F24" i="4"/>
  <c r="F26" i="3" l="1"/>
  <c r="F25" i="3"/>
  <c r="F24" i="3"/>
  <c r="L21" i="4"/>
  <c r="H21" i="4"/>
  <c r="H23" i="4"/>
  <c r="H24" i="4"/>
  <c r="F20" i="4" l="1"/>
  <c r="H20" i="4" s="1"/>
  <c r="F22" i="4"/>
  <c r="H22" i="4" s="1"/>
  <c r="H17" i="4"/>
  <c r="H18" i="4"/>
  <c r="H19" i="4"/>
  <c r="F16" i="4"/>
  <c r="H16" i="4" s="1"/>
  <c r="G28" i="4" l="1"/>
  <c r="G29" i="4" s="1"/>
  <c r="D10" i="6"/>
  <c r="E10" i="3"/>
  <c r="E10" i="6" s="1"/>
  <c r="B22" i="6"/>
  <c r="C22" i="6"/>
  <c r="E22" i="3"/>
  <c r="B22" i="3"/>
  <c r="C22" i="3"/>
  <c r="F22" i="3" l="1"/>
  <c r="F32" i="3" l="1"/>
  <c r="C16" i="6"/>
  <c r="C17" i="6"/>
  <c r="C15" i="6"/>
  <c r="C17" i="3"/>
  <c r="C16" i="3" l="1"/>
  <c r="C15" i="3"/>
  <c r="F16" i="7"/>
  <c r="F22" i="5"/>
  <c r="F33" i="3" l="1"/>
  <c r="F34" i="3" s="1"/>
  <c r="E27" i="7"/>
  <c r="E28" i="7" s="1"/>
  <c r="E29" i="7" s="1"/>
  <c r="E40" i="5"/>
  <c r="E41" i="5" s="1"/>
  <c r="E42" i="5" l="1"/>
  <c r="G30" i="4"/>
</calcChain>
</file>

<file path=xl/sharedStrings.xml><?xml version="1.0" encoding="utf-8"?>
<sst xmlns="http://schemas.openxmlformats.org/spreadsheetml/2006/main" count="124" uniqueCount="75">
  <si>
    <t>Date :</t>
  </si>
  <si>
    <t>Client :</t>
  </si>
  <si>
    <t>Désignation</t>
  </si>
  <si>
    <t>Prix unitaire HT</t>
  </si>
  <si>
    <t>Total HT</t>
  </si>
  <si>
    <t>TVA 20%</t>
  </si>
  <si>
    <t>Total TTC</t>
  </si>
  <si>
    <t>Nb</t>
  </si>
  <si>
    <t>COMMUNE HARBIL</t>
  </si>
  <si>
    <t>Signature client</t>
  </si>
  <si>
    <t>MONSTER GARAGE</t>
  </si>
  <si>
    <t>RC: 150241 / IF: 65976431 / ICE: 003524622000063 / Patente: 64006750</t>
  </si>
  <si>
    <t>Adresse: Quartier industriel, sidi ghanem N 534 Bis 2, Marrakech</t>
  </si>
  <si>
    <t>Tél: 0661 10 90 31 / 0660 63 78 64 / E-mail : MonstergarageWMS@gmail.com</t>
  </si>
  <si>
    <t>Véhicule</t>
  </si>
  <si>
    <t>Immatriculation</t>
  </si>
  <si>
    <t>FACTURE N° :</t>
  </si>
  <si>
    <t>Kilométrage</t>
  </si>
  <si>
    <t>Devis n°:</t>
  </si>
  <si>
    <t>Client:</t>
  </si>
  <si>
    <t>Date:</t>
  </si>
  <si>
    <t>ICE n°:</t>
  </si>
  <si>
    <t>Adresse:</t>
  </si>
  <si>
    <t>Qté</t>
  </si>
  <si>
    <t>Prix HT</t>
  </si>
  <si>
    <t>Prix HT total</t>
  </si>
  <si>
    <t>TVA</t>
  </si>
  <si>
    <t xml:space="preserve">TVA </t>
  </si>
  <si>
    <t>Devis reçu avant l'exécution des travaux</t>
  </si>
  <si>
    <t>Bon pour accord</t>
  </si>
  <si>
    <t>BL N°</t>
  </si>
  <si>
    <t xml:space="preserve">Client </t>
  </si>
  <si>
    <t>Matricule</t>
  </si>
  <si>
    <t>NBRE</t>
  </si>
  <si>
    <t>DESIGNATION</t>
  </si>
  <si>
    <t>Fait à MARRAKECH le</t>
  </si>
  <si>
    <t>Marrakech le</t>
  </si>
  <si>
    <t>Marque</t>
  </si>
  <si>
    <t xml:space="preserve">Arrêté le présent devis à la somme de: </t>
  </si>
  <si>
    <t>0600</t>
  </si>
  <si>
    <t>N° client :</t>
  </si>
  <si>
    <t>Numéro client :</t>
  </si>
  <si>
    <t>PARE CHOC AVANT</t>
  </si>
  <si>
    <t>OPTIQUE AVG</t>
  </si>
  <si>
    <t>AILE AVG</t>
  </si>
  <si>
    <t>CALANDRE AVANT</t>
  </si>
  <si>
    <t>JUPE PARE CHOC AVANT</t>
  </si>
  <si>
    <t>GRILLE PARE CHOC AVANT</t>
  </si>
  <si>
    <t>FEU ANTIBROUILLARD AVG</t>
  </si>
  <si>
    <t>DRESSAGE PORTE ARG</t>
  </si>
  <si>
    <t>DRESSAGE AILE ARG</t>
  </si>
  <si>
    <t>KIT AMPOULES</t>
  </si>
  <si>
    <t>PC AVNT</t>
  </si>
  <si>
    <t>OP AVG</t>
  </si>
  <si>
    <t>CALANDRE AV</t>
  </si>
  <si>
    <t>JUPE PC AV</t>
  </si>
  <si>
    <t>GRILLE PC AV</t>
  </si>
  <si>
    <t>FEU ANTIBTROUILLARD AVG</t>
  </si>
  <si>
    <t>Arrêté le présent devis à la somme de:Dix mille huit cent vingt quatre dirhams TTC</t>
  </si>
  <si>
    <t>Dix mille neuf cent soixante huit dirhams TTC</t>
  </si>
  <si>
    <t>22/04226</t>
  </si>
  <si>
    <t xml:space="preserve">HUILE MOTEUR </t>
  </si>
  <si>
    <t>FILTRE A HUILE</t>
  </si>
  <si>
    <t>SERRURES PORTIERES</t>
  </si>
  <si>
    <t>LUSTAGE OPTIQUES AVANT</t>
  </si>
  <si>
    <t>ENTRETIEN SERRURES</t>
  </si>
  <si>
    <t>COMMODO KLAXON</t>
  </si>
  <si>
    <t>TETE INJECTEURS</t>
  </si>
  <si>
    <t>MAIN D'ŒUVRE GENERALE</t>
  </si>
  <si>
    <t>Arrêté le présent devis à la somme de:Neuf mille neuf cent soixante deux dirhams quarante centimes TTC</t>
  </si>
  <si>
    <t>Arrêté la présente facture à la somme de:Neuf mille neuf cent soixante deux dirhams quarante centimes TTC</t>
  </si>
  <si>
    <t>DACIA LOGAN</t>
  </si>
  <si>
    <t>204318 - J</t>
  </si>
  <si>
    <t>J204318</t>
  </si>
  <si>
    <t>204318-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</si>
</sst>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#,##0.00[$MAD]"/>
  </numFmts>
  <fonts count="2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u/>
      <sz val="11"/>
      <name val="Cambria"/>
      <family val="1"/>
    </font>
    <font>
      <i/>
      <sz val="11"/>
      <name val="Cambria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48"/>
      <color rgb="FF0070C0"/>
      <name val="Calibri"/>
      <family val="2"/>
      <scheme val="minor"/>
    </font>
    <font>
      <u val="double"/>
      <sz val="4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mbria"/>
      <family val="1"/>
    </font>
    <font>
      <u val="double"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4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" fontId="3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9" fontId="0" fillId="0" borderId="8" xfId="0" applyNumberFormat="1" applyBorder="1" applyAlignment="1">
      <alignment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9" fontId="0" fillId="0" borderId="0" xfId="0" applyNumberFormat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14" fontId="21" fillId="0" borderId="0" xfId="0" applyNumberFormat="1" applyFont="1"/>
    <xf numFmtId="2" fontId="18" fillId="0" borderId="6" xfId="2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0" borderId="0" xfId="0" applyFont="1"/>
    <xf numFmtId="14" fontId="23" fillId="0" borderId="0" xfId="0" applyNumberFormat="1" applyFont="1"/>
    <xf numFmtId="2" fontId="0" fillId="0" borderId="0" xfId="2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0" fillId="0" borderId="0" xfId="0" applyFont="1" applyAlignment="1">
      <alignment vertical="center"/>
    </xf>
    <xf numFmtId="2" fontId="0" fillId="0" borderId="7" xfId="2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4" fontId="0" fillId="0" borderId="8" xfId="2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18" fillId="0" borderId="7" xfId="0" applyNumberFormat="1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">
    <cellStyle name="Milliers" xfId="2" builtinId="3"/>
    <cellStyle name="Normal" xfId="0" builtinId="0"/>
    <cellStyle name="Normal 2" xfId="1"/>
    <cellStyle name="Pourcentage" xfId="3" builtinId="5"/>
  </cellStyles>
  <dxfs count="0"/>
  <tableStyles count="0" defaultTableStyle="TableStyleMedium2" defaultPivotStyle="PivotStyleLight16"/>
  <colors>
    <mruColors>
      <color rgb="FF0483BC"/>
      <color rgb="FF9DE6F5"/>
      <color rgb="FFB7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1666875</xdr:colOff>
      <xdr:row>0</xdr:row>
      <xdr:rowOff>85725</xdr:rowOff>
    </xdr:from>
    <xdr:to>
      <xdr:col>7</xdr:col>
      <xdr:colOff>820832</xdr:colOff>
      <xdr:row>2</xdr:row>
      <xdr:rowOff>542925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BFBC442-E35E-4B87-8399-69405A155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6448425" y="85725"/>
          <a:ext cx="1306607" cy="838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1348739</xdr:colOff>
      <xdr:row>8</xdr:row>
      <xdr:rowOff>114300</xdr:rowOff>
    </xdr:from>
    <xdr:to>
      <xdr:col>6</xdr:col>
      <xdr:colOff>142874</xdr:colOff>
      <xdr:row>12</xdr:row>
      <xdr:rowOff>19050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xmlns="" id="{41B5964F-6405-4A22-16ED-82CB23605099}"/>
            </a:ext>
          </a:extLst>
        </xdr:cNvPr>
        <xdr:cNvSpPr/>
      </xdr:nvSpPr>
      <xdr:spPr>
        <a:xfrm>
          <a:off x="3034664" y="2324100"/>
          <a:ext cx="3232785" cy="771525"/>
        </a:xfrm>
        <a:prstGeom prst="roundRect">
          <a:avLst/>
        </a:prstGeom>
        <a:noFill/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6</xdr:col>
      <xdr:colOff>0</xdr:colOff>
      <xdr:row>0</xdr:row>
      <xdr:rowOff>171450</xdr:rowOff>
    </xdr:from>
    <xdr:to>
      <xdr:col>8</xdr:col>
      <xdr:colOff>0</xdr:colOff>
      <xdr:row>2</xdr:row>
      <xdr:rowOff>542925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3EF2CD79-939A-42A6-BD40-7B7B060E1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086350" y="171450"/>
          <a:ext cx="1514475" cy="7334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1348740</xdr:colOff>
      <xdr:row>8</xdr:row>
      <xdr:rowOff>114300</xdr:rowOff>
    </xdr:from>
    <xdr:to>
      <xdr:col>5</xdr:col>
      <xdr:colOff>922020</xdr:colOff>
      <xdr:row>12</xdr:row>
      <xdr:rowOff>7620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xmlns="" id="{C41A1506-1FCE-459C-9A3E-D8BFBF8A0F1A}"/>
            </a:ext>
          </a:extLst>
        </xdr:cNvPr>
        <xdr:cNvSpPr/>
      </xdr:nvSpPr>
      <xdr:spPr>
        <a:xfrm>
          <a:off x="3034665" y="2324100"/>
          <a:ext cx="2526030" cy="760095"/>
        </a:xfrm>
        <a:prstGeom prst="roundRect">
          <a:avLst/>
        </a:prstGeom>
        <a:noFill/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4</xdr:col>
      <xdr:colOff>952499</xdr:colOff>
      <xdr:row>0</xdr:row>
      <xdr:rowOff>0</xdr:rowOff>
    </xdr:from>
    <xdr:to>
      <xdr:col>6</xdr:col>
      <xdr:colOff>685800</xdr:colOff>
      <xdr:row>2</xdr:row>
      <xdr:rowOff>256396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xmlns="" id="{EA6C0CE3-46D0-4C21-994C-3D577262DE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4" t="2687" r="67097" b="86564"/>
        <a:stretch/>
      </xdr:blipFill>
      <xdr:spPr bwMode="auto">
        <a:xfrm>
          <a:off x="5191124" y="0"/>
          <a:ext cx="1485901" cy="6373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7"/>
  <sheetViews>
    <sheetView workbookViewId="0">
      <selection activeCell="B10" sqref="B10"/>
    </sheetView>
  </sheetViews>
  <sheetFormatPr baseColWidth="10" defaultRowHeight="15" x14ac:dyDescent="0.25"/>
  <cols>
    <col min="1" max="1" width="20.5703125" customWidth="1"/>
    <col min="2" max="2" width="16.85546875" bestFit="1" customWidth="1"/>
    <col min="3" max="3" width="7.28515625" customWidth="1"/>
    <col min="6" max="6" width="25.140625" customWidth="1"/>
    <col min="7" max="7" width="7.140625" customWidth="1"/>
    <col min="8" max="8" width="14.5703125" customWidth="1"/>
  </cols>
  <sheetData>
    <row r="1" spans="1:8" x14ac:dyDescent="0.25">
      <c r="A1" s="53" t="s">
        <v>10</v>
      </c>
      <c r="B1" s="54"/>
      <c r="C1" s="54"/>
      <c r="D1" s="54"/>
      <c r="E1" s="54"/>
      <c r="F1" s="54"/>
      <c r="G1" s="54"/>
      <c r="H1" s="54"/>
    </row>
    <row r="2" spans="1:8" x14ac:dyDescent="0.25">
      <c r="A2" s="54"/>
      <c r="B2" s="54"/>
      <c r="C2" s="54"/>
      <c r="D2" s="54"/>
      <c r="E2" s="54"/>
      <c r="F2" s="54"/>
      <c r="G2" s="54"/>
      <c r="H2" s="54"/>
    </row>
    <row r="3" spans="1:8" ht="45" customHeight="1" thickBot="1" x14ac:dyDescent="0.3">
      <c r="A3" s="55"/>
      <c r="B3" s="55"/>
      <c r="C3" s="55"/>
      <c r="D3" s="55"/>
      <c r="E3" s="55"/>
      <c r="F3" s="55"/>
      <c r="G3" s="55"/>
      <c r="H3" s="55"/>
    </row>
    <row r="4" spans="1:8" ht="33.75" x14ac:dyDescent="0.25">
      <c r="A4" s="16"/>
      <c r="B4" s="16"/>
      <c r="C4" s="16"/>
      <c r="D4" s="16"/>
      <c r="E4" s="16"/>
      <c r="F4" s="16"/>
      <c r="G4" s="16"/>
      <c r="H4" s="16"/>
    </row>
    <row r="5" spans="1:8" ht="33.75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17"/>
      <c r="B6" s="17"/>
      <c r="C6" s="17"/>
      <c r="D6" s="17"/>
      <c r="E6" s="17"/>
      <c r="F6" s="17"/>
      <c r="G6" s="17"/>
      <c r="H6" s="17"/>
    </row>
    <row r="7" spans="1:8" x14ac:dyDescent="0.25">
      <c r="A7" s="17"/>
      <c r="B7" s="17"/>
      <c r="C7" s="17"/>
      <c r="D7" s="17"/>
      <c r="E7" s="17"/>
      <c r="F7" s="17"/>
      <c r="G7" s="17"/>
      <c r="H7" s="17"/>
    </row>
    <row r="8" spans="1:8" ht="18.75" x14ac:dyDescent="0.25">
      <c r="A8" s="17"/>
      <c r="B8" s="17"/>
      <c r="C8" s="17"/>
      <c r="D8" s="17"/>
      <c r="E8" s="17"/>
      <c r="F8" s="18" t="s">
        <v>41</v>
      </c>
      <c r="G8" s="18" t="s">
        <v>39</v>
      </c>
      <c r="H8" s="17"/>
    </row>
    <row r="9" spans="1:8" ht="18.75" x14ac:dyDescent="0.25">
      <c r="A9" s="18" t="s">
        <v>18</v>
      </c>
      <c r="B9" s="19" t="s">
        <v>60</v>
      </c>
      <c r="C9" s="19"/>
      <c r="D9" s="18"/>
      <c r="E9" s="18"/>
      <c r="F9" s="18" t="s">
        <v>19</v>
      </c>
      <c r="G9" s="18" t="s">
        <v>8</v>
      </c>
      <c r="H9" s="17"/>
    </row>
    <row r="10" spans="1:8" ht="18.75" x14ac:dyDescent="0.25">
      <c r="A10" s="18" t="s">
        <v>20</v>
      </c>
      <c r="B10" s="20">
        <v>46114</v>
      </c>
      <c r="C10" s="20"/>
      <c r="D10" s="18"/>
      <c r="E10" s="18"/>
      <c r="F10" s="18" t="s">
        <v>21</v>
      </c>
      <c r="G10" s="18"/>
      <c r="H10" s="17"/>
    </row>
    <row r="11" spans="1:8" ht="18.75" x14ac:dyDescent="0.25">
      <c r="A11" s="18" t="s">
        <v>14</v>
      </c>
      <c r="B11" s="19" t="s">
        <v>71</v>
      </c>
      <c r="C11" s="18"/>
      <c r="D11" s="18"/>
      <c r="E11" s="18"/>
      <c r="F11" s="18" t="s">
        <v>22</v>
      </c>
      <c r="G11" s="18"/>
      <c r="H11" s="17"/>
    </row>
    <row r="12" spans="1:8" ht="18.75" x14ac:dyDescent="0.25">
      <c r="A12" s="18" t="s">
        <v>15</v>
      </c>
      <c r="B12" s="19" t="s">
        <v>72</v>
      </c>
      <c r="C12" s="17"/>
      <c r="D12" s="17"/>
      <c r="E12" s="17"/>
      <c r="F12" s="17"/>
      <c r="G12" s="17"/>
      <c r="H12" s="17"/>
    </row>
    <row r="13" spans="1:8" ht="18.75" x14ac:dyDescent="0.25">
      <c r="A13" s="18" t="s">
        <v>17</v>
      </c>
      <c r="B13" s="19">
        <v>246235</v>
      </c>
      <c r="C13" s="17"/>
      <c r="D13" s="17"/>
      <c r="E13" s="17"/>
      <c r="F13" s="17"/>
      <c r="G13" s="17"/>
      <c r="H13" s="17"/>
    </row>
    <row r="14" spans="1:8" x14ac:dyDescent="0.25">
      <c r="A14" s="17"/>
      <c r="B14" s="17"/>
      <c r="C14" s="17"/>
      <c r="D14" s="17"/>
      <c r="E14" s="17"/>
      <c r="F14" s="17"/>
      <c r="G14" s="17"/>
      <c r="H14" s="17"/>
    </row>
    <row r="15" spans="1:8" ht="18.75" x14ac:dyDescent="0.25">
      <c r="A15" s="56" t="s">
        <v>2</v>
      </c>
      <c r="B15" s="56"/>
      <c r="C15" s="21" t="s">
        <v>23</v>
      </c>
      <c r="D15" s="56" t="s">
        <v>24</v>
      </c>
      <c r="E15" s="56"/>
      <c r="F15" s="21" t="s">
        <v>25</v>
      </c>
      <c r="G15" s="46" t="s">
        <v>26</v>
      </c>
      <c r="H15" s="21" t="s">
        <v>6</v>
      </c>
    </row>
    <row r="16" spans="1:8" x14ac:dyDescent="0.25">
      <c r="A16" s="57" t="s">
        <v>61</v>
      </c>
      <c r="B16" s="58"/>
      <c r="C16" s="22">
        <v>5</v>
      </c>
      <c r="D16" s="59">
        <v>180</v>
      </c>
      <c r="E16" s="60"/>
      <c r="F16" s="45">
        <f>+D16*C16</f>
        <v>900</v>
      </c>
      <c r="G16" s="47">
        <v>0.2</v>
      </c>
      <c r="H16" s="50">
        <f>+F16+(F16*G16)</f>
        <v>1080</v>
      </c>
    </row>
    <row r="17" spans="1:13" x14ac:dyDescent="0.25">
      <c r="A17" s="57" t="s">
        <v>62</v>
      </c>
      <c r="B17" s="58"/>
      <c r="C17" s="22">
        <v>1</v>
      </c>
      <c r="D17" s="59">
        <v>232</v>
      </c>
      <c r="E17" s="60"/>
      <c r="F17" s="45">
        <f t="shared" ref="F17:F24" si="0">+D17*C17</f>
        <v>232</v>
      </c>
      <c r="G17" s="47">
        <v>0.2</v>
      </c>
      <c r="H17" s="50">
        <f t="shared" ref="H17:H24" si="1">+F17+(F17*G17)</f>
        <v>278.39999999999998</v>
      </c>
    </row>
    <row r="18" spans="1:13" x14ac:dyDescent="0.25">
      <c r="A18" s="57" t="s">
        <v>63</v>
      </c>
      <c r="B18" s="58"/>
      <c r="C18" s="22">
        <v>4</v>
      </c>
      <c r="D18" s="59">
        <v>1010</v>
      </c>
      <c r="E18" s="60"/>
      <c r="F18" s="45">
        <f t="shared" si="0"/>
        <v>4040</v>
      </c>
      <c r="G18" s="47">
        <v>0.2</v>
      </c>
      <c r="H18" s="50">
        <f t="shared" si="1"/>
        <v>4848</v>
      </c>
    </row>
    <row r="19" spans="1:13" x14ac:dyDescent="0.25">
      <c r="A19" s="57" t="s">
        <v>51</v>
      </c>
      <c r="B19" s="58"/>
      <c r="C19" s="22">
        <v>2</v>
      </c>
      <c r="D19" s="59">
        <v>150</v>
      </c>
      <c r="E19" s="60"/>
      <c r="F19" s="45">
        <f t="shared" si="0"/>
        <v>300</v>
      </c>
      <c r="G19" s="47">
        <v>0.2</v>
      </c>
      <c r="H19" s="50">
        <f t="shared" si="1"/>
        <v>360</v>
      </c>
    </row>
    <row r="20" spans="1:13" x14ac:dyDescent="0.25">
      <c r="A20" s="65" t="s">
        <v>64</v>
      </c>
      <c r="B20" s="66"/>
      <c r="C20" s="24">
        <v>2</v>
      </c>
      <c r="D20" s="67">
        <v>180</v>
      </c>
      <c r="E20" s="60"/>
      <c r="F20" s="45">
        <f t="shared" si="0"/>
        <v>360</v>
      </c>
      <c r="G20" s="47">
        <v>0.2</v>
      </c>
      <c r="H20" s="50">
        <f t="shared" si="1"/>
        <v>432</v>
      </c>
    </row>
    <row r="21" spans="1:13" x14ac:dyDescent="0.25">
      <c r="A21" s="57" t="s">
        <v>65</v>
      </c>
      <c r="B21" s="58"/>
      <c r="C21" s="24">
        <v>1</v>
      </c>
      <c r="D21" s="59">
        <v>855</v>
      </c>
      <c r="E21" s="60"/>
      <c r="F21" s="45">
        <f t="shared" si="0"/>
        <v>855</v>
      </c>
      <c r="G21" s="47">
        <v>0.2</v>
      </c>
      <c r="H21" s="50">
        <f t="shared" si="1"/>
        <v>1026</v>
      </c>
      <c r="L21">
        <f>14300+2500+800</f>
        <v>17600</v>
      </c>
    </row>
    <row r="22" spans="1:13" x14ac:dyDescent="0.25">
      <c r="A22" s="57" t="s">
        <v>66</v>
      </c>
      <c r="B22" s="58"/>
      <c r="C22" s="24">
        <v>1</v>
      </c>
      <c r="D22" s="59">
        <v>365</v>
      </c>
      <c r="E22" s="60"/>
      <c r="F22" s="45">
        <f t="shared" si="0"/>
        <v>365</v>
      </c>
      <c r="G22" s="47">
        <v>0.2</v>
      </c>
      <c r="H22" s="50">
        <f t="shared" si="1"/>
        <v>438</v>
      </c>
    </row>
    <row r="23" spans="1:13" x14ac:dyDescent="0.25">
      <c r="A23" s="63" t="s">
        <v>67</v>
      </c>
      <c r="B23" s="64"/>
      <c r="C23" s="24">
        <v>1</v>
      </c>
      <c r="D23" s="61">
        <v>950</v>
      </c>
      <c r="E23" s="62"/>
      <c r="F23" s="45">
        <f t="shared" si="0"/>
        <v>950</v>
      </c>
      <c r="G23" s="47">
        <v>0.2</v>
      </c>
      <c r="H23" s="50">
        <f t="shared" si="1"/>
        <v>1140</v>
      </c>
    </row>
    <row r="24" spans="1:13" x14ac:dyDescent="0.25">
      <c r="A24" s="63" t="s">
        <v>68</v>
      </c>
      <c r="B24" s="64"/>
      <c r="C24" s="24">
        <v>1</v>
      </c>
      <c r="D24" s="61">
        <v>300</v>
      </c>
      <c r="E24" s="62"/>
      <c r="F24" s="45">
        <f t="shared" si="0"/>
        <v>300</v>
      </c>
      <c r="G24" s="47">
        <v>0.2</v>
      </c>
      <c r="H24" s="50">
        <f t="shared" si="1"/>
        <v>360</v>
      </c>
    </row>
    <row r="25" spans="1:13" x14ac:dyDescent="0.25">
      <c r="A25" s="63"/>
      <c r="B25" s="64"/>
      <c r="C25" s="24"/>
      <c r="D25" s="61"/>
      <c r="E25" s="62"/>
      <c r="F25" s="45"/>
      <c r="G25" s="47"/>
      <c r="H25" s="50"/>
    </row>
    <row r="26" spans="1:13" x14ac:dyDescent="0.25">
      <c r="A26" s="63"/>
      <c r="B26" s="64"/>
      <c r="C26" s="24"/>
      <c r="D26" s="61"/>
      <c r="E26" s="62"/>
      <c r="F26" s="45"/>
      <c r="G26" s="47"/>
      <c r="H26" s="50"/>
    </row>
    <row r="27" spans="1:13" x14ac:dyDescent="0.25">
      <c r="A27" s="17"/>
      <c r="B27" s="17"/>
      <c r="C27" s="17"/>
      <c r="D27" s="17"/>
      <c r="E27" s="17"/>
      <c r="F27" s="17"/>
      <c r="G27" s="17"/>
      <c r="H27" s="17"/>
    </row>
    <row r="28" spans="1:13" x14ac:dyDescent="0.25">
      <c r="A28" s="17"/>
      <c r="B28" s="17"/>
      <c r="C28" s="17"/>
      <c r="D28" s="17"/>
      <c r="E28" s="69" t="s">
        <v>4</v>
      </c>
      <c r="F28" s="70"/>
      <c r="G28" s="71">
        <f>SUM(F16:F26)</f>
        <v>8302</v>
      </c>
      <c r="H28" s="71"/>
    </row>
    <row r="29" spans="1:13" x14ac:dyDescent="0.25">
      <c r="A29" s="17"/>
      <c r="B29" s="17"/>
      <c r="C29" s="17"/>
      <c r="D29" s="17"/>
      <c r="E29" s="25" t="s">
        <v>27</v>
      </c>
      <c r="F29" s="26"/>
      <c r="G29" s="72">
        <f>+G28*0.2</f>
        <v>1660.4</v>
      </c>
      <c r="H29" s="71"/>
    </row>
    <row r="30" spans="1:13" x14ac:dyDescent="0.25">
      <c r="A30" s="17"/>
      <c r="B30" s="17"/>
      <c r="C30" s="17"/>
      <c r="D30" s="17"/>
      <c r="E30" s="69" t="s">
        <v>6</v>
      </c>
      <c r="F30" s="70"/>
      <c r="G30" s="73">
        <f>+G28+G29</f>
        <v>9962.4</v>
      </c>
      <c r="H30" s="72"/>
    </row>
    <row r="31" spans="1:13" x14ac:dyDescent="0.25">
      <c r="A31" s="17"/>
      <c r="B31" s="17"/>
      <c r="C31" s="17"/>
      <c r="D31" s="17"/>
      <c r="E31" s="27"/>
      <c r="F31" s="27"/>
      <c r="G31" s="28"/>
      <c r="H31" s="28"/>
    </row>
    <row r="32" spans="1:13" x14ac:dyDescent="0.25">
      <c r="A32" s="29" t="s">
        <v>69</v>
      </c>
      <c r="B32" s="17"/>
      <c r="C32" s="17"/>
      <c r="D32" s="17"/>
      <c r="E32" s="17"/>
      <c r="F32" s="17"/>
      <c r="G32" s="17"/>
      <c r="H32" s="17"/>
      <c r="M32">
        <v>1077</v>
      </c>
    </row>
    <row r="33" spans="1:8" x14ac:dyDescent="0.25">
      <c r="A33" s="29"/>
      <c r="B33" s="17"/>
      <c r="C33" s="17"/>
      <c r="D33" s="17"/>
      <c r="E33" s="27"/>
      <c r="F33" s="30"/>
      <c r="G33" s="30"/>
      <c r="H33" s="30"/>
    </row>
    <row r="34" spans="1:8" x14ac:dyDescent="0.25">
      <c r="A34" s="31" t="s">
        <v>28</v>
      </c>
      <c r="B34" s="17"/>
      <c r="C34" s="17"/>
      <c r="D34" s="17"/>
      <c r="E34" s="27"/>
      <c r="F34" s="30"/>
      <c r="G34" s="30"/>
      <c r="H34" s="30"/>
    </row>
    <row r="35" spans="1:8" x14ac:dyDescent="0.25">
      <c r="A35" s="29"/>
      <c r="B35" s="17"/>
      <c r="C35" s="17"/>
      <c r="D35" s="17"/>
      <c r="E35" s="27"/>
      <c r="F35" s="17"/>
      <c r="G35" s="30"/>
      <c r="H35" s="30"/>
    </row>
    <row r="36" spans="1:8" x14ac:dyDescent="0.25">
      <c r="A36" s="29"/>
      <c r="B36" s="17"/>
      <c r="C36" s="17"/>
      <c r="D36" s="17"/>
      <c r="E36" s="27"/>
      <c r="F36" s="17"/>
      <c r="G36" s="30"/>
      <c r="H36" s="30"/>
    </row>
    <row r="37" spans="1:8" x14ac:dyDescent="0.25">
      <c r="A37" s="29"/>
      <c r="B37" s="17"/>
      <c r="C37" s="17"/>
      <c r="D37" s="17"/>
      <c r="E37" s="27"/>
      <c r="F37" s="17"/>
      <c r="G37" s="30"/>
      <c r="H37" s="30"/>
    </row>
    <row r="38" spans="1:8" x14ac:dyDescent="0.25">
      <c r="A38" s="29"/>
      <c r="B38" s="17"/>
      <c r="C38" s="17"/>
      <c r="D38" s="17"/>
      <c r="E38" s="27"/>
      <c r="F38" s="30"/>
      <c r="G38" s="30"/>
      <c r="H38" s="30"/>
    </row>
    <row r="39" spans="1:8" x14ac:dyDescent="0.25">
      <c r="A39" s="29"/>
      <c r="B39" s="17"/>
      <c r="C39" s="17"/>
      <c r="D39" s="17"/>
      <c r="E39" s="27"/>
      <c r="F39" s="30"/>
      <c r="G39" s="30"/>
      <c r="H39" s="30"/>
    </row>
    <row r="40" spans="1:8" x14ac:dyDescent="0.25">
      <c r="A40" s="29"/>
      <c r="B40" s="17"/>
      <c r="C40" s="17"/>
      <c r="D40" s="17"/>
      <c r="E40" s="27"/>
      <c r="F40" s="30"/>
      <c r="G40" s="30"/>
      <c r="H40" s="30"/>
    </row>
    <row r="41" spans="1:8" x14ac:dyDescent="0.25">
      <c r="A41" s="29"/>
      <c r="B41" s="17"/>
      <c r="C41" s="17"/>
      <c r="D41" s="17"/>
      <c r="E41" s="27"/>
      <c r="F41" s="30" t="s">
        <v>0</v>
      </c>
      <c r="G41" s="30"/>
      <c r="H41" s="30"/>
    </row>
    <row r="42" spans="1:8" x14ac:dyDescent="0.25">
      <c r="A42" s="29"/>
      <c r="B42" s="17"/>
      <c r="C42" s="17"/>
      <c r="D42" s="17"/>
      <c r="E42" s="27"/>
      <c r="F42" s="30"/>
      <c r="G42" s="30"/>
      <c r="H42" s="30"/>
    </row>
    <row r="43" spans="1:8" x14ac:dyDescent="0.25">
      <c r="A43" s="29"/>
      <c r="B43" s="17"/>
      <c r="C43" s="17"/>
      <c r="D43" s="17"/>
      <c r="E43" s="27"/>
      <c r="F43" s="17"/>
      <c r="G43" s="30"/>
      <c r="H43" s="30"/>
    </row>
    <row r="44" spans="1:8" x14ac:dyDescent="0.25">
      <c r="A44" s="29"/>
      <c r="B44" s="17"/>
      <c r="C44" s="17"/>
      <c r="D44" s="17"/>
      <c r="E44" s="27"/>
      <c r="F44" s="30" t="s">
        <v>29</v>
      </c>
      <c r="G44" s="30"/>
      <c r="H44" s="30"/>
    </row>
    <row r="45" spans="1:8" x14ac:dyDescent="0.25">
      <c r="A45" s="29"/>
      <c r="B45" s="17"/>
      <c r="C45" s="17"/>
      <c r="D45" s="17"/>
      <c r="E45" s="27"/>
      <c r="F45" s="30"/>
      <c r="G45" s="30"/>
      <c r="H45" s="30"/>
    </row>
    <row r="46" spans="1:8" x14ac:dyDescent="0.25">
      <c r="A46" s="29"/>
      <c r="B46" s="17"/>
      <c r="C46" s="17"/>
      <c r="D46" s="17"/>
      <c r="E46" s="27"/>
      <c r="F46" s="30"/>
      <c r="G46" s="30"/>
      <c r="H46" s="30"/>
    </row>
    <row r="47" spans="1:8" x14ac:dyDescent="0.25">
      <c r="A47" s="29"/>
      <c r="B47" s="17"/>
      <c r="C47" s="17"/>
      <c r="D47" s="17"/>
      <c r="E47" s="27"/>
      <c r="F47" s="30" t="s">
        <v>9</v>
      </c>
      <c r="G47" s="30"/>
      <c r="H47" s="30"/>
    </row>
    <row r="48" spans="1:8" x14ac:dyDescent="0.25">
      <c r="A48" s="29"/>
      <c r="B48" s="17"/>
      <c r="C48" s="17"/>
      <c r="D48" s="17"/>
      <c r="E48" s="27"/>
      <c r="F48" s="30"/>
      <c r="G48" s="30"/>
      <c r="H48" s="30"/>
    </row>
    <row r="49" spans="1:8" x14ac:dyDescent="0.25">
      <c r="A49" s="29"/>
      <c r="B49" s="17"/>
      <c r="C49" s="17"/>
      <c r="D49" s="17"/>
      <c r="E49" s="27"/>
      <c r="F49" s="30"/>
      <c r="G49" s="30"/>
      <c r="H49" s="30"/>
    </row>
    <row r="50" spans="1:8" x14ac:dyDescent="0.25">
      <c r="A50" s="29"/>
      <c r="B50" s="17"/>
      <c r="C50" s="17"/>
      <c r="D50" s="17"/>
      <c r="E50" s="27"/>
      <c r="F50" s="30"/>
      <c r="G50" s="30"/>
      <c r="H50" s="30"/>
    </row>
    <row r="51" spans="1:8" x14ac:dyDescent="0.25">
      <c r="A51" s="29"/>
      <c r="B51" s="17"/>
      <c r="C51" s="17"/>
      <c r="D51" s="17"/>
      <c r="E51" s="27"/>
      <c r="F51" s="30"/>
      <c r="G51" s="30"/>
      <c r="H51" s="30"/>
    </row>
    <row r="52" spans="1:8" x14ac:dyDescent="0.25">
      <c r="A52" s="29"/>
      <c r="B52" s="17"/>
      <c r="C52" s="17"/>
      <c r="D52" s="17"/>
      <c r="E52" s="27"/>
      <c r="F52" s="30"/>
      <c r="G52" s="30"/>
      <c r="H52" s="30"/>
    </row>
    <row r="53" spans="1:8" x14ac:dyDescent="0.25">
      <c r="A53" s="29"/>
      <c r="B53" s="17"/>
      <c r="C53" s="17"/>
      <c r="D53" s="17"/>
      <c r="E53" s="27"/>
      <c r="F53" s="30"/>
      <c r="G53" s="30"/>
      <c r="H53" s="30"/>
    </row>
    <row r="54" spans="1:8" ht="15.75" thickBot="1" x14ac:dyDescent="0.3">
      <c r="A54" s="32"/>
      <c r="B54" s="32"/>
      <c r="C54" s="32"/>
      <c r="D54" s="32"/>
      <c r="E54" s="32"/>
      <c r="F54" s="32"/>
      <c r="G54" s="32"/>
      <c r="H54" s="32"/>
    </row>
    <row r="55" spans="1:8" ht="15.75" x14ac:dyDescent="0.25">
      <c r="A55" s="68" t="s">
        <v>11</v>
      </c>
      <c r="B55" s="68"/>
      <c r="C55" s="68"/>
      <c r="D55" s="68"/>
      <c r="E55" s="68"/>
      <c r="F55" s="68"/>
      <c r="G55" s="68"/>
      <c r="H55" s="68"/>
    </row>
    <row r="56" spans="1:8" ht="15.75" x14ac:dyDescent="0.25">
      <c r="A56" s="68" t="s">
        <v>12</v>
      </c>
      <c r="B56" s="68"/>
      <c r="C56" s="68"/>
      <c r="D56" s="68"/>
      <c r="E56" s="68"/>
      <c r="F56" s="68"/>
      <c r="G56" s="68"/>
      <c r="H56" s="68"/>
    </row>
    <row r="57" spans="1:8" ht="15.75" x14ac:dyDescent="0.25">
      <c r="A57" s="68" t="s">
        <v>13</v>
      </c>
      <c r="B57" s="68"/>
      <c r="C57" s="68"/>
      <c r="D57" s="68"/>
      <c r="E57" s="68"/>
      <c r="F57" s="68"/>
      <c r="G57" s="68"/>
      <c r="H57" s="68"/>
    </row>
  </sheetData>
  <mergeCells count="33">
    <mergeCell ref="A56:H56"/>
    <mergeCell ref="A57:H57"/>
    <mergeCell ref="E28:F28"/>
    <mergeCell ref="G28:H28"/>
    <mergeCell ref="G29:H29"/>
    <mergeCell ref="E30:F30"/>
    <mergeCell ref="G30:H30"/>
    <mergeCell ref="A55:H55"/>
    <mergeCell ref="D26:E26"/>
    <mergeCell ref="A26:B26"/>
    <mergeCell ref="D25:E25"/>
    <mergeCell ref="A20:B20"/>
    <mergeCell ref="D20:E20"/>
    <mergeCell ref="A21:B21"/>
    <mergeCell ref="D21:E21"/>
    <mergeCell ref="A22:B22"/>
    <mergeCell ref="D22:E22"/>
    <mergeCell ref="A23:B23"/>
    <mergeCell ref="D23:E23"/>
    <mergeCell ref="A24:B24"/>
    <mergeCell ref="D24:E24"/>
    <mergeCell ref="A25:B25"/>
    <mergeCell ref="A1:H3"/>
    <mergeCell ref="A15:B15"/>
    <mergeCell ref="D15:E15"/>
    <mergeCell ref="A19:B19"/>
    <mergeCell ref="D19:E19"/>
    <mergeCell ref="A16:B16"/>
    <mergeCell ref="A17:B17"/>
    <mergeCell ref="A18:B18"/>
    <mergeCell ref="D16:E16"/>
    <mergeCell ref="D17:E17"/>
    <mergeCell ref="D18:E18"/>
  </mergeCells>
  <pageMargins left="0.7" right="0.7" top="0.75" bottom="0.75" header="0.3" footer="0.3"/>
  <pageSetup paperSize="9" scale="50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F31"/>
  <sheetViews>
    <sheetView workbookViewId="0">
      <selection activeCell="D11" sqref="D11"/>
    </sheetView>
  </sheetViews>
  <sheetFormatPr baseColWidth="10" defaultRowHeight="15" x14ac:dyDescent="0.25"/>
  <cols>
    <col min="2" max="2" width="7.42578125" customWidth="1"/>
    <col min="3" max="3" width="34.140625" customWidth="1"/>
    <col min="4" max="4" width="11.85546875" bestFit="1" customWidth="1"/>
    <col min="6" max="6" width="16.7109375" customWidth="1"/>
  </cols>
  <sheetData>
    <row r="10" spans="1:6" ht="15.75" x14ac:dyDescent="0.25">
      <c r="C10" s="36" t="s">
        <v>35</v>
      </c>
      <c r="D10" s="37">
        <v>46114</v>
      </c>
    </row>
    <row r="12" spans="1:6" x14ac:dyDescent="0.25">
      <c r="A12" t="s">
        <v>32</v>
      </c>
      <c r="B12" t="s">
        <v>73</v>
      </c>
      <c r="D12" t="s">
        <v>31</v>
      </c>
      <c r="E12" t="s">
        <v>8</v>
      </c>
    </row>
    <row r="15" spans="1:6" ht="18.75" x14ac:dyDescent="0.25">
      <c r="A15" s="79" t="s">
        <v>33</v>
      </c>
      <c r="B15" s="79"/>
      <c r="C15" s="39" t="s">
        <v>34</v>
      </c>
      <c r="D15" s="79" t="s">
        <v>24</v>
      </c>
      <c r="E15" s="79"/>
      <c r="F15" s="39" t="s">
        <v>25</v>
      </c>
    </row>
    <row r="16" spans="1:6" x14ac:dyDescent="0.25">
      <c r="A16" s="57">
        <v>1</v>
      </c>
      <c r="B16" s="58"/>
      <c r="C16" s="22" t="s">
        <v>52</v>
      </c>
      <c r="D16" s="74">
        <v>1500</v>
      </c>
      <c r="E16" s="75"/>
      <c r="F16" s="38">
        <f>+D16*A16</f>
        <v>1500</v>
      </c>
    </row>
    <row r="17" spans="1:6" x14ac:dyDescent="0.25">
      <c r="A17" s="57">
        <v>1</v>
      </c>
      <c r="B17" s="58"/>
      <c r="C17" s="22" t="s">
        <v>53</v>
      </c>
      <c r="D17" s="74">
        <v>1000</v>
      </c>
      <c r="E17" s="75"/>
      <c r="F17" s="38">
        <f t="shared" ref="F17:F25" si="0">+D17*A17</f>
        <v>1000</v>
      </c>
    </row>
    <row r="18" spans="1:6" x14ac:dyDescent="0.25">
      <c r="A18" s="57">
        <v>1</v>
      </c>
      <c r="B18" s="58"/>
      <c r="C18" s="22" t="s">
        <v>44</v>
      </c>
      <c r="D18" s="74">
        <v>1000</v>
      </c>
      <c r="E18" s="75"/>
      <c r="F18" s="38">
        <f t="shared" si="0"/>
        <v>1000</v>
      </c>
    </row>
    <row r="19" spans="1:6" x14ac:dyDescent="0.25">
      <c r="A19" s="57">
        <v>1</v>
      </c>
      <c r="B19" s="58"/>
      <c r="C19" s="22" t="s">
        <v>54</v>
      </c>
      <c r="D19" s="74">
        <v>1020</v>
      </c>
      <c r="E19" s="75"/>
      <c r="F19" s="38">
        <f t="shared" si="0"/>
        <v>1020</v>
      </c>
    </row>
    <row r="20" spans="1:6" x14ac:dyDescent="0.25">
      <c r="A20" s="57">
        <v>1</v>
      </c>
      <c r="B20" s="58"/>
      <c r="C20" s="22" t="s">
        <v>55</v>
      </c>
      <c r="D20" s="74">
        <v>1300</v>
      </c>
      <c r="E20" s="75"/>
      <c r="F20" s="38">
        <f t="shared" si="0"/>
        <v>1300</v>
      </c>
    </row>
    <row r="21" spans="1:6" x14ac:dyDescent="0.25">
      <c r="A21" s="57">
        <v>1</v>
      </c>
      <c r="B21" s="58"/>
      <c r="C21" s="22" t="s">
        <v>56</v>
      </c>
      <c r="D21" s="74">
        <v>900</v>
      </c>
      <c r="E21" s="75"/>
      <c r="F21" s="38">
        <f t="shared" si="0"/>
        <v>900</v>
      </c>
    </row>
    <row r="22" spans="1:6" x14ac:dyDescent="0.25">
      <c r="A22" s="57">
        <v>1</v>
      </c>
      <c r="B22" s="58"/>
      <c r="C22" s="22" t="s">
        <v>57</v>
      </c>
      <c r="D22" s="74">
        <v>500</v>
      </c>
      <c r="E22" s="75"/>
      <c r="F22" s="38">
        <f t="shared" si="0"/>
        <v>500</v>
      </c>
    </row>
    <row r="23" spans="1:6" x14ac:dyDescent="0.25">
      <c r="A23" s="57">
        <v>1</v>
      </c>
      <c r="B23" s="58"/>
      <c r="C23" s="22" t="s">
        <v>49</v>
      </c>
      <c r="D23" s="74">
        <v>800</v>
      </c>
      <c r="E23" s="75"/>
      <c r="F23" s="38">
        <f t="shared" si="0"/>
        <v>800</v>
      </c>
    </row>
    <row r="24" spans="1:6" x14ac:dyDescent="0.25">
      <c r="A24" s="57">
        <v>1</v>
      </c>
      <c r="B24" s="58"/>
      <c r="C24" s="22" t="s">
        <v>50</v>
      </c>
      <c r="D24" s="74">
        <v>800</v>
      </c>
      <c r="E24" s="75"/>
      <c r="F24" s="38">
        <f t="shared" si="0"/>
        <v>800</v>
      </c>
    </row>
    <row r="25" spans="1:6" x14ac:dyDescent="0.25">
      <c r="A25" s="57">
        <v>1</v>
      </c>
      <c r="B25" s="58"/>
      <c r="C25" s="22" t="s">
        <v>51</v>
      </c>
      <c r="D25" s="74">
        <v>200</v>
      </c>
      <c r="E25" s="75"/>
      <c r="F25" s="38">
        <f t="shared" si="0"/>
        <v>200</v>
      </c>
    </row>
    <row r="26" spans="1:6" x14ac:dyDescent="0.25">
      <c r="A26" s="57"/>
      <c r="B26" s="58"/>
      <c r="C26" s="22"/>
      <c r="D26" s="74"/>
      <c r="E26" s="75"/>
      <c r="F26" s="38"/>
    </row>
    <row r="27" spans="1:6" x14ac:dyDescent="0.25">
      <c r="A27" s="17"/>
      <c r="B27" s="17"/>
      <c r="C27" s="69" t="s">
        <v>4</v>
      </c>
      <c r="D27" s="70"/>
      <c r="E27" s="78">
        <f>SUM(F16:F26)</f>
        <v>9020</v>
      </c>
      <c r="F27" s="78"/>
    </row>
    <row r="28" spans="1:6" x14ac:dyDescent="0.25">
      <c r="A28" s="17"/>
      <c r="B28" s="17"/>
      <c r="C28" s="25" t="s">
        <v>27</v>
      </c>
      <c r="D28" s="26"/>
      <c r="E28" s="77">
        <f>+E27*0.2</f>
        <v>1804</v>
      </c>
      <c r="F28" s="78"/>
    </row>
    <row r="29" spans="1:6" x14ac:dyDescent="0.25">
      <c r="C29" s="69" t="s">
        <v>6</v>
      </c>
      <c r="D29" s="70"/>
      <c r="E29" s="76">
        <f>+E27+E28</f>
        <v>10824</v>
      </c>
      <c r="F29" s="77"/>
    </row>
    <row r="31" spans="1:6" x14ac:dyDescent="0.25">
      <c r="A31" s="34" t="s">
        <v>58</v>
      </c>
    </row>
  </sheetData>
  <mergeCells count="29">
    <mergeCell ref="A17:B17"/>
    <mergeCell ref="D17:E17"/>
    <mergeCell ref="A15:B15"/>
    <mergeCell ref="D15:E15"/>
    <mergeCell ref="A16:B16"/>
    <mergeCell ref="D16:E16"/>
    <mergeCell ref="A18:B18"/>
    <mergeCell ref="D18:E18"/>
    <mergeCell ref="A26:B26"/>
    <mergeCell ref="D26:E26"/>
    <mergeCell ref="E29:F29"/>
    <mergeCell ref="C27:D27"/>
    <mergeCell ref="E27:F27"/>
    <mergeCell ref="E28:F28"/>
    <mergeCell ref="C29:D29"/>
    <mergeCell ref="A21:B21"/>
    <mergeCell ref="D21:E21"/>
    <mergeCell ref="A19:B19"/>
    <mergeCell ref="A20:B20"/>
    <mergeCell ref="D19:E19"/>
    <mergeCell ref="D20:E20"/>
    <mergeCell ref="A22:B22"/>
    <mergeCell ref="A23:B23"/>
    <mergeCell ref="A24:B24"/>
    <mergeCell ref="A25:B25"/>
    <mergeCell ref="D22:E22"/>
    <mergeCell ref="D23:E23"/>
    <mergeCell ref="D24:E24"/>
    <mergeCell ref="D25:E25"/>
  </mergeCells>
  <pageMargins left="0.7" right="0.7" top="0.75" bottom="0.75" header="0.3" footer="0.3"/>
  <pageSetup paperSize="9" scale="94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1:F51"/>
  <sheetViews>
    <sheetView workbookViewId="0">
      <selection activeCell="E11" sqref="E11"/>
    </sheetView>
  </sheetViews>
  <sheetFormatPr baseColWidth="10" defaultRowHeight="15" x14ac:dyDescent="0.25"/>
  <cols>
    <col min="2" max="2" width="16.28515625" customWidth="1"/>
    <col min="3" max="3" width="12.5703125" customWidth="1"/>
    <col min="5" max="5" width="12.140625" bestFit="1" customWidth="1"/>
    <col min="6" max="6" width="15.28515625" bestFit="1" customWidth="1"/>
  </cols>
  <sheetData>
    <row r="11" spans="1:5" ht="15.75" x14ac:dyDescent="0.25">
      <c r="C11" s="40" t="s">
        <v>36</v>
      </c>
      <c r="D11" s="40"/>
      <c r="E11" s="41">
        <v>46114</v>
      </c>
    </row>
    <row r="14" spans="1:5" ht="15.75" x14ac:dyDescent="0.25">
      <c r="A14" s="35" t="s">
        <v>31</v>
      </c>
      <c r="B14" s="35" t="s">
        <v>8</v>
      </c>
    </row>
    <row r="15" spans="1:5" ht="15.75" x14ac:dyDescent="0.25">
      <c r="A15" s="35" t="s">
        <v>32</v>
      </c>
      <c r="B15" s="35" t="s">
        <v>74</v>
      </c>
      <c r="C15" s="35"/>
    </row>
    <row r="16" spans="1:5" ht="15.75" x14ac:dyDescent="0.25">
      <c r="A16" s="35" t="s">
        <v>37</v>
      </c>
      <c r="B16" s="35" t="s">
        <v>71</v>
      </c>
    </row>
    <row r="17" spans="1:6" ht="15.75" x14ac:dyDescent="0.25">
      <c r="A17" s="35"/>
      <c r="B17" s="35"/>
    </row>
    <row r="18" spans="1:6" ht="15.75" x14ac:dyDescent="0.25">
      <c r="A18" s="35"/>
      <c r="B18" s="35"/>
    </row>
    <row r="19" spans="1:6" ht="15.75" x14ac:dyDescent="0.25">
      <c r="A19" s="35"/>
      <c r="B19" s="35"/>
    </row>
    <row r="21" spans="1:6" ht="18.75" x14ac:dyDescent="0.25">
      <c r="A21" s="56" t="s">
        <v>2</v>
      </c>
      <c r="B21" s="56"/>
      <c r="C21" s="21" t="s">
        <v>23</v>
      </c>
      <c r="D21" s="56" t="s">
        <v>24</v>
      </c>
      <c r="E21" s="56"/>
      <c r="F21" s="21" t="s">
        <v>25</v>
      </c>
    </row>
    <row r="22" spans="1:6" x14ac:dyDescent="0.25">
      <c r="A22" s="57" t="s">
        <v>42</v>
      </c>
      <c r="B22" s="58"/>
      <c r="C22" s="22">
        <v>1</v>
      </c>
      <c r="D22" s="59">
        <v>1600</v>
      </c>
      <c r="E22" s="60"/>
      <c r="F22" s="23">
        <f t="shared" ref="F22:F31" si="0">+C22*D22</f>
        <v>1600</v>
      </c>
    </row>
    <row r="23" spans="1:6" x14ac:dyDescent="0.25">
      <c r="A23" s="57" t="s">
        <v>43</v>
      </c>
      <c r="B23" s="58"/>
      <c r="C23" s="22">
        <v>1</v>
      </c>
      <c r="D23" s="59">
        <v>1030</v>
      </c>
      <c r="E23" s="60"/>
      <c r="F23" s="23">
        <f t="shared" si="0"/>
        <v>1030</v>
      </c>
    </row>
    <row r="24" spans="1:6" x14ac:dyDescent="0.25">
      <c r="A24" s="57" t="s">
        <v>44</v>
      </c>
      <c r="B24" s="58"/>
      <c r="C24" s="22">
        <v>1</v>
      </c>
      <c r="D24" s="59">
        <v>1010</v>
      </c>
      <c r="E24" s="60"/>
      <c r="F24" s="23">
        <f t="shared" si="0"/>
        <v>1010</v>
      </c>
    </row>
    <row r="25" spans="1:6" x14ac:dyDescent="0.25">
      <c r="A25" s="57" t="s">
        <v>45</v>
      </c>
      <c r="B25" s="58"/>
      <c r="C25" s="22">
        <v>1</v>
      </c>
      <c r="D25" s="59">
        <v>1040</v>
      </c>
      <c r="E25" s="60"/>
      <c r="F25" s="23">
        <f t="shared" si="0"/>
        <v>1040</v>
      </c>
    </row>
    <row r="26" spans="1:6" x14ac:dyDescent="0.25">
      <c r="A26" s="65" t="s">
        <v>46</v>
      </c>
      <c r="B26" s="66"/>
      <c r="C26" s="22">
        <v>1</v>
      </c>
      <c r="D26" s="59">
        <v>1300</v>
      </c>
      <c r="E26" s="60"/>
      <c r="F26" s="23">
        <f t="shared" si="0"/>
        <v>1300</v>
      </c>
    </row>
    <row r="27" spans="1:6" x14ac:dyDescent="0.25">
      <c r="A27" s="57" t="s">
        <v>47</v>
      </c>
      <c r="B27" s="58"/>
      <c r="C27" s="22">
        <v>1</v>
      </c>
      <c r="D27" s="59">
        <v>960</v>
      </c>
      <c r="E27" s="60"/>
      <c r="F27" s="23">
        <f t="shared" si="0"/>
        <v>960</v>
      </c>
    </row>
    <row r="28" spans="1:6" x14ac:dyDescent="0.25">
      <c r="A28" s="57" t="s">
        <v>48</v>
      </c>
      <c r="B28" s="58"/>
      <c r="C28" s="22">
        <v>1</v>
      </c>
      <c r="D28" s="59">
        <v>400</v>
      </c>
      <c r="E28" s="60"/>
      <c r="F28" s="23">
        <f t="shared" si="0"/>
        <v>400</v>
      </c>
    </row>
    <row r="29" spans="1:6" x14ac:dyDescent="0.25">
      <c r="A29" s="63" t="s">
        <v>49</v>
      </c>
      <c r="B29" s="64"/>
      <c r="C29" s="22">
        <v>1</v>
      </c>
      <c r="D29" s="59">
        <v>800</v>
      </c>
      <c r="E29" s="60"/>
      <c r="F29" s="23">
        <f t="shared" si="0"/>
        <v>800</v>
      </c>
    </row>
    <row r="30" spans="1:6" x14ac:dyDescent="0.25">
      <c r="A30" s="63" t="s">
        <v>50</v>
      </c>
      <c r="B30" s="64"/>
      <c r="C30" s="22">
        <v>1</v>
      </c>
      <c r="D30" s="59">
        <v>800</v>
      </c>
      <c r="E30" s="60"/>
      <c r="F30" s="23">
        <f t="shared" si="0"/>
        <v>800</v>
      </c>
    </row>
    <row r="31" spans="1:6" x14ac:dyDescent="0.25">
      <c r="A31" s="63" t="s">
        <v>51</v>
      </c>
      <c r="B31" s="64"/>
      <c r="C31" s="22">
        <v>1</v>
      </c>
      <c r="D31" s="59">
        <v>200</v>
      </c>
      <c r="E31" s="60"/>
      <c r="F31" s="23">
        <f t="shared" si="0"/>
        <v>200</v>
      </c>
    </row>
    <row r="32" spans="1:6" x14ac:dyDescent="0.25">
      <c r="A32" s="57"/>
      <c r="B32" s="58"/>
      <c r="C32" s="22"/>
      <c r="D32" s="59"/>
      <c r="E32" s="60"/>
      <c r="F32" s="23"/>
    </row>
    <row r="33" spans="1:6" x14ac:dyDescent="0.25">
      <c r="A33" s="57"/>
      <c r="B33" s="58"/>
      <c r="C33" s="22"/>
      <c r="D33" s="48"/>
      <c r="E33" s="49"/>
      <c r="F33" s="23"/>
    </row>
    <row r="34" spans="1:6" x14ac:dyDescent="0.25">
      <c r="A34" s="57"/>
      <c r="B34" s="58"/>
      <c r="C34" s="22"/>
      <c r="D34" s="59"/>
      <c r="E34" s="60"/>
      <c r="F34" s="23"/>
    </row>
    <row r="35" spans="1:6" x14ac:dyDescent="0.25">
      <c r="A35" s="30"/>
      <c r="B35" s="30"/>
      <c r="C35" s="30"/>
      <c r="D35" s="28"/>
      <c r="E35" s="28"/>
      <c r="F35" s="42"/>
    </row>
    <row r="36" spans="1:6" x14ac:dyDescent="0.25">
      <c r="A36" s="30"/>
      <c r="B36" s="30"/>
      <c r="C36" s="30"/>
      <c r="D36" s="28"/>
      <c r="E36" s="28"/>
      <c r="F36" s="42"/>
    </row>
    <row r="37" spans="1:6" x14ac:dyDescent="0.25">
      <c r="A37" s="30"/>
      <c r="B37" s="30"/>
      <c r="C37" s="30"/>
      <c r="D37" s="28"/>
      <c r="E37" s="28"/>
      <c r="F37" s="42"/>
    </row>
    <row r="38" spans="1:6" x14ac:dyDescent="0.25">
      <c r="A38" s="17"/>
      <c r="B38" s="17"/>
      <c r="C38" s="17"/>
      <c r="D38" s="17"/>
      <c r="E38" s="17"/>
      <c r="F38" s="17"/>
    </row>
    <row r="39" spans="1:6" x14ac:dyDescent="0.25">
      <c r="A39" s="17"/>
      <c r="B39" s="17"/>
      <c r="C39" s="17"/>
      <c r="D39" s="17"/>
    </row>
    <row r="40" spans="1:6" x14ac:dyDescent="0.25">
      <c r="A40" s="17"/>
      <c r="B40" s="17"/>
      <c r="C40" s="69" t="s">
        <v>4</v>
      </c>
      <c r="D40" s="70"/>
      <c r="E40" s="71">
        <f>SUM(F22:F34)</f>
        <v>9140</v>
      </c>
      <c r="F40" s="71"/>
    </row>
    <row r="41" spans="1:6" x14ac:dyDescent="0.25">
      <c r="A41" s="17"/>
      <c r="B41" s="17"/>
      <c r="C41" s="25" t="s">
        <v>27</v>
      </c>
      <c r="D41" s="26"/>
      <c r="E41" s="72">
        <f>+E40*0.2</f>
        <v>1828</v>
      </c>
      <c r="F41" s="71"/>
    </row>
    <row r="42" spans="1:6" x14ac:dyDescent="0.25">
      <c r="C42" s="69" t="s">
        <v>6</v>
      </c>
      <c r="D42" s="70"/>
      <c r="E42" s="73">
        <f>+E40+E41</f>
        <v>10968</v>
      </c>
      <c r="F42" s="72"/>
    </row>
    <row r="43" spans="1:6" x14ac:dyDescent="0.25">
      <c r="C43" s="27"/>
      <c r="D43" s="27"/>
      <c r="E43" s="43"/>
      <c r="F43" s="43"/>
    </row>
    <row r="45" spans="1:6" ht="15.75" x14ac:dyDescent="0.25">
      <c r="C45" s="44" t="s">
        <v>38</v>
      </c>
    </row>
    <row r="46" spans="1:6" ht="15.75" x14ac:dyDescent="0.25">
      <c r="C46" s="44" t="s">
        <v>59</v>
      </c>
    </row>
    <row r="49" spans="5:6" x14ac:dyDescent="0.25">
      <c r="E49" s="80"/>
      <c r="F49" s="80"/>
    </row>
    <row r="50" spans="5:6" x14ac:dyDescent="0.25">
      <c r="E50" s="17"/>
      <c r="F50" s="33"/>
    </row>
    <row r="51" spans="5:6" x14ac:dyDescent="0.25">
      <c r="E51" s="80"/>
      <c r="F51" s="80"/>
    </row>
  </sheetData>
  <mergeCells count="34">
    <mergeCell ref="E49:F49"/>
    <mergeCell ref="E51:F51"/>
    <mergeCell ref="C40:D40"/>
    <mergeCell ref="E40:F40"/>
    <mergeCell ref="E41:F41"/>
    <mergeCell ref="C42:D42"/>
    <mergeCell ref="E42:F42"/>
    <mergeCell ref="A23:B23"/>
    <mergeCell ref="D23:E23"/>
    <mergeCell ref="A24:B24"/>
    <mergeCell ref="D24:E24"/>
    <mergeCell ref="A25:B25"/>
    <mergeCell ref="D25:E25"/>
    <mergeCell ref="A21:B21"/>
    <mergeCell ref="D21:E21"/>
    <mergeCell ref="A22:B22"/>
    <mergeCell ref="D22:E22"/>
    <mergeCell ref="D34:E34"/>
    <mergeCell ref="A34:B34"/>
    <mergeCell ref="A26:B26"/>
    <mergeCell ref="A27:B27"/>
    <mergeCell ref="A28:B28"/>
    <mergeCell ref="D26:E26"/>
    <mergeCell ref="D27:E27"/>
    <mergeCell ref="D28:E28"/>
    <mergeCell ref="A29:B29"/>
    <mergeCell ref="A30:B30"/>
    <mergeCell ref="A31:B31"/>
    <mergeCell ref="A32:B32"/>
    <mergeCell ref="A33:B33"/>
    <mergeCell ref="D29:E29"/>
    <mergeCell ref="D30:E30"/>
    <mergeCell ref="D31:E31"/>
    <mergeCell ref="D32:E32"/>
  </mergeCells>
  <pageMargins left="0.7" right="0.7" top="0.75" bottom="0.75" header="0.3" footer="0.3"/>
  <pageSetup paperSize="9" scale="97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zoomScaleNormal="100" workbookViewId="0">
      <selection activeCell="C8" sqref="C8"/>
    </sheetView>
  </sheetViews>
  <sheetFormatPr baseColWidth="10" defaultColWidth="11.5703125" defaultRowHeight="14.25" x14ac:dyDescent="0.25"/>
  <cols>
    <col min="1" max="1" width="8.140625" style="1" customWidth="1"/>
    <col min="2" max="2" width="17.140625" style="1" customWidth="1"/>
    <col min="3" max="3" width="27.42578125" style="1" customWidth="1"/>
    <col min="4" max="4" width="11.42578125" style="1" customWidth="1"/>
    <col min="5" max="5" width="15.28515625" style="1" customWidth="1"/>
    <col min="6" max="6" width="15.140625" style="1" customWidth="1"/>
    <col min="7" max="7" width="5.7109375" style="1" customWidth="1"/>
    <col min="8" max="8" width="17" style="1" customWidth="1"/>
    <col min="9" max="16384" width="11.5703125" style="1"/>
  </cols>
  <sheetData>
    <row r="1" spans="1:8" x14ac:dyDescent="0.25">
      <c r="A1" s="53" t="s">
        <v>10</v>
      </c>
      <c r="B1" s="54"/>
      <c r="C1" s="54"/>
      <c r="D1" s="54"/>
      <c r="E1" s="54"/>
      <c r="F1" s="54"/>
      <c r="G1" s="54"/>
      <c r="H1" s="54"/>
    </row>
    <row r="2" spans="1:8" x14ac:dyDescent="0.25">
      <c r="A2" s="54"/>
      <c r="B2" s="54"/>
      <c r="C2" s="54"/>
      <c r="D2" s="54"/>
      <c r="E2" s="54"/>
      <c r="F2" s="54"/>
      <c r="G2" s="54"/>
      <c r="H2" s="54"/>
    </row>
    <row r="3" spans="1:8" ht="48.75" customHeight="1" thickBot="1" x14ac:dyDescent="0.3">
      <c r="A3" s="55"/>
      <c r="B3" s="55"/>
      <c r="C3" s="55"/>
      <c r="D3" s="55"/>
      <c r="E3" s="55"/>
      <c r="F3" s="55"/>
      <c r="G3" s="55"/>
      <c r="H3" s="55"/>
    </row>
    <row r="4" spans="1:8" ht="27" customHeight="1" x14ac:dyDescent="0.25">
      <c r="A4" s="12"/>
      <c r="B4" s="12"/>
      <c r="C4" s="12"/>
      <c r="D4" s="12"/>
      <c r="E4" s="12"/>
      <c r="F4" s="12"/>
      <c r="G4" s="12"/>
      <c r="H4" s="12"/>
    </row>
    <row r="5" spans="1:8" ht="27" customHeight="1" x14ac:dyDescent="0.25">
      <c r="A5" s="12"/>
      <c r="B5" s="12"/>
      <c r="C5" s="12"/>
      <c r="D5" s="12"/>
      <c r="E5" s="12"/>
      <c r="F5" s="12"/>
      <c r="G5" s="12"/>
      <c r="H5" s="12"/>
    </row>
    <row r="7" spans="1:8" x14ac:dyDescent="0.25">
      <c r="B7" s="5" t="s">
        <v>16</v>
      </c>
      <c r="C7" s="51">
        <v>20260100</v>
      </c>
    </row>
    <row r="8" spans="1:8" x14ac:dyDescent="0.25">
      <c r="B8" s="5" t="s">
        <v>0</v>
      </c>
      <c r="C8" s="52">
        <v>46114</v>
      </c>
    </row>
    <row r="10" spans="1:8" ht="25.9" customHeight="1" x14ac:dyDescent="0.25">
      <c r="D10" s="2" t="s">
        <v>40</v>
      </c>
      <c r="E10" s="85" t="str">
        <f>+'DEVIS WMS'!G8</f>
        <v>0600</v>
      </c>
      <c r="F10" s="85"/>
    </row>
    <row r="11" spans="1:8" x14ac:dyDescent="0.25">
      <c r="D11" s="2" t="s">
        <v>1</v>
      </c>
      <c r="E11" s="85" t="s">
        <v>8</v>
      </c>
      <c r="F11" s="85"/>
    </row>
    <row r="15" spans="1:8" ht="15.75" x14ac:dyDescent="0.25">
      <c r="B15" s="15" t="s">
        <v>14</v>
      </c>
      <c r="C15" s="14" t="str">
        <f>+'DEVIS WMS'!B11</f>
        <v>DACIA LOGAN</v>
      </c>
    </row>
    <row r="16" spans="1:8" ht="15.75" x14ac:dyDescent="0.25">
      <c r="B16" s="15" t="s">
        <v>15</v>
      </c>
      <c r="C16" s="14" t="str">
        <f>+'DEVIS WMS'!B12</f>
        <v>204318 - J</v>
      </c>
    </row>
    <row r="17" spans="2:6" ht="15.75" x14ac:dyDescent="0.25">
      <c r="B17" s="15" t="s">
        <v>17</v>
      </c>
      <c r="C17" s="14">
        <f>+'DEVIS WMS'!B13</f>
        <v>246235</v>
      </c>
    </row>
    <row r="21" spans="2:6" x14ac:dyDescent="0.25">
      <c r="B21" s="9" t="s">
        <v>7</v>
      </c>
      <c r="C21" s="86" t="s">
        <v>2</v>
      </c>
      <c r="D21" s="87"/>
      <c r="E21" s="10" t="s">
        <v>3</v>
      </c>
      <c r="F21" s="10" t="s">
        <v>4</v>
      </c>
    </row>
    <row r="22" spans="2:6" ht="29.25" customHeight="1" x14ac:dyDescent="0.25">
      <c r="B22" s="8">
        <f>+'DEVIS WMS'!C16</f>
        <v>5</v>
      </c>
      <c r="C22" s="81" t="str">
        <f>+'DEVIS WMS'!A16</f>
        <v xml:space="preserve">HUILE MOTEUR </v>
      </c>
      <c r="D22" s="82"/>
      <c r="E22" s="3">
        <f>+'DEVIS WMS'!D16</f>
        <v>180</v>
      </c>
      <c r="F22" s="4">
        <f t="shared" ref="F22:F30" si="0">+E22*B22</f>
        <v>900</v>
      </c>
    </row>
    <row r="23" spans="2:6" ht="33.75" customHeight="1" x14ac:dyDescent="0.25">
      <c r="B23" s="8">
        <f>+'DEVIS WMS'!C17</f>
        <v>1</v>
      </c>
      <c r="C23" s="81" t="str">
        <f>+'DEVIS WMS'!A17</f>
        <v>FILTRE A HUILE</v>
      </c>
      <c r="D23" s="82"/>
      <c r="E23" s="3">
        <f>+'DEVIS WMS'!D17</f>
        <v>232</v>
      </c>
      <c r="F23" s="4">
        <f t="shared" si="0"/>
        <v>232</v>
      </c>
    </row>
    <row r="24" spans="2:6" ht="30" customHeight="1" x14ac:dyDescent="0.25">
      <c r="B24" s="8">
        <f>+'DEVIS WMS'!C18</f>
        <v>4</v>
      </c>
      <c r="C24" s="81" t="str">
        <f>+'DEVIS WMS'!A18</f>
        <v>SERRURES PORTIERES</v>
      </c>
      <c r="D24" s="82"/>
      <c r="E24" s="3">
        <f>+'DEVIS WMS'!D18</f>
        <v>1010</v>
      </c>
      <c r="F24" s="4">
        <f t="shared" si="0"/>
        <v>4040</v>
      </c>
    </row>
    <row r="25" spans="2:6" ht="40.15" customHeight="1" x14ac:dyDescent="0.25">
      <c r="B25" s="8">
        <f>+'DEVIS WMS'!C19</f>
        <v>2</v>
      </c>
      <c r="C25" s="81" t="str">
        <f>+'DEVIS WMS'!A19</f>
        <v>KIT AMPOULES</v>
      </c>
      <c r="D25" s="82"/>
      <c r="E25" s="3">
        <f>+'DEVIS WMS'!D19</f>
        <v>150</v>
      </c>
      <c r="F25" s="4">
        <f t="shared" si="0"/>
        <v>300</v>
      </c>
    </row>
    <row r="26" spans="2:6" ht="40.15" customHeight="1" x14ac:dyDescent="0.25">
      <c r="B26" s="8">
        <f>+'DEVIS WMS'!C20</f>
        <v>2</v>
      </c>
      <c r="C26" s="81" t="str">
        <f>+'DEVIS WMS'!A20</f>
        <v>LUSTAGE OPTIQUES AVANT</v>
      </c>
      <c r="D26" s="82"/>
      <c r="E26" s="3">
        <f>+'DEVIS WMS'!D20</f>
        <v>180</v>
      </c>
      <c r="F26" s="4">
        <f t="shared" si="0"/>
        <v>360</v>
      </c>
    </row>
    <row r="27" spans="2:6" ht="40.15" customHeight="1" x14ac:dyDescent="0.25">
      <c r="B27" s="8">
        <f>+'DEVIS WMS'!C21</f>
        <v>1</v>
      </c>
      <c r="C27" s="81" t="str">
        <f>+'DEVIS WMS'!A21</f>
        <v>ENTRETIEN SERRURES</v>
      </c>
      <c r="D27" s="82"/>
      <c r="E27" s="3">
        <f>+'DEVIS WMS'!D21</f>
        <v>855</v>
      </c>
      <c r="F27" s="4">
        <f t="shared" si="0"/>
        <v>855</v>
      </c>
    </row>
    <row r="28" spans="2:6" ht="40.15" customHeight="1" x14ac:dyDescent="0.25">
      <c r="B28" s="8">
        <f>+'DEVIS WMS'!C22</f>
        <v>1</v>
      </c>
      <c r="C28" s="81" t="str">
        <f>+'DEVIS WMS'!A22</f>
        <v>COMMODO KLAXON</v>
      </c>
      <c r="D28" s="82"/>
      <c r="E28" s="3">
        <f>+'DEVIS WMS'!D22</f>
        <v>365</v>
      </c>
      <c r="F28" s="4">
        <f t="shared" si="0"/>
        <v>365</v>
      </c>
    </row>
    <row r="29" spans="2:6" ht="40.15" customHeight="1" x14ac:dyDescent="0.25">
      <c r="B29" s="8">
        <f>+'DEVIS WMS'!C23</f>
        <v>1</v>
      </c>
      <c r="C29" s="81" t="str">
        <f>+'DEVIS WMS'!A23</f>
        <v>TETE INJECTEURS</v>
      </c>
      <c r="D29" s="82"/>
      <c r="E29" s="3">
        <f>+'DEVIS WMS'!D23</f>
        <v>950</v>
      </c>
      <c r="F29" s="4">
        <f t="shared" si="0"/>
        <v>950</v>
      </c>
    </row>
    <row r="30" spans="2:6" ht="40.15" customHeight="1" x14ac:dyDescent="0.25">
      <c r="B30" s="8">
        <f>+'DEVIS WMS'!C24</f>
        <v>1</v>
      </c>
      <c r="C30" s="81" t="str">
        <f>+'DEVIS WMS'!A24</f>
        <v>MAIN D'ŒUVRE GENERALE</v>
      </c>
      <c r="D30" s="82"/>
      <c r="E30" s="3">
        <f>+'DEVIS WMS'!D24</f>
        <v>300</v>
      </c>
      <c r="F30" s="4">
        <f t="shared" si="0"/>
        <v>300</v>
      </c>
    </row>
    <row r="32" spans="2:6" ht="15.6" customHeight="1" x14ac:dyDescent="0.25">
      <c r="E32" s="11" t="s">
        <v>4</v>
      </c>
      <c r="F32" s="4">
        <f>SUM(F22:F30)</f>
        <v>8302</v>
      </c>
    </row>
    <row r="33" spans="1:6" ht="15.6" customHeight="1" x14ac:dyDescent="0.25">
      <c r="E33" s="11" t="s">
        <v>5</v>
      </c>
      <c r="F33" s="4">
        <f>+F32*0.2</f>
        <v>1660.4</v>
      </c>
    </row>
    <row r="34" spans="1:6" ht="15.6" customHeight="1" x14ac:dyDescent="0.25">
      <c r="E34" s="11" t="s">
        <v>6</v>
      </c>
      <c r="F34" s="4">
        <f>+F32+F33</f>
        <v>9962.4</v>
      </c>
    </row>
    <row r="35" spans="1:6" x14ac:dyDescent="0.25">
      <c r="C35" s="2"/>
    </row>
    <row r="36" spans="1:6" x14ac:dyDescent="0.25">
      <c r="C36" s="2"/>
    </row>
    <row r="37" spans="1:6" x14ac:dyDescent="0.25">
      <c r="B37" s="84"/>
      <c r="C37" s="84"/>
      <c r="D37" s="84"/>
      <c r="E37" s="84"/>
      <c r="F37" s="84"/>
    </row>
    <row r="38" spans="1:6" x14ac:dyDescent="0.25">
      <c r="B38" s="84"/>
      <c r="C38" s="84"/>
      <c r="D38" s="84"/>
      <c r="E38" s="84"/>
      <c r="F38" s="84"/>
    </row>
    <row r="39" spans="1:6" ht="15" x14ac:dyDescent="0.25">
      <c r="A39" s="29" t="s">
        <v>70</v>
      </c>
    </row>
    <row r="40" spans="1:6" x14ac:dyDescent="0.25">
      <c r="B40" s="6"/>
    </row>
    <row r="58" spans="1:8" ht="15.75" x14ac:dyDescent="0.25">
      <c r="A58" s="83" t="s">
        <v>11</v>
      </c>
      <c r="B58" s="83"/>
      <c r="C58" s="83"/>
      <c r="D58" s="83"/>
      <c r="E58" s="83"/>
      <c r="F58" s="83"/>
      <c r="G58" s="83"/>
      <c r="H58" s="83"/>
    </row>
    <row r="59" spans="1:8" ht="15.75" x14ac:dyDescent="0.25">
      <c r="A59" s="68" t="s">
        <v>12</v>
      </c>
      <c r="B59" s="68"/>
      <c r="C59" s="68"/>
      <c r="D59" s="68"/>
      <c r="E59" s="68"/>
      <c r="F59" s="68"/>
      <c r="G59" s="68"/>
      <c r="H59" s="68"/>
    </row>
    <row r="60" spans="1:8" ht="15.75" x14ac:dyDescent="0.25">
      <c r="A60" s="68" t="s">
        <v>13</v>
      </c>
      <c r="B60" s="68"/>
      <c r="C60" s="68"/>
      <c r="D60" s="68"/>
      <c r="E60" s="68"/>
      <c r="F60" s="68"/>
      <c r="G60" s="68"/>
      <c r="H60" s="68"/>
    </row>
  </sheetData>
  <mergeCells count="17">
    <mergeCell ref="C24:D24"/>
    <mergeCell ref="C30:D30"/>
    <mergeCell ref="A60:H60"/>
    <mergeCell ref="A58:H58"/>
    <mergeCell ref="A59:H59"/>
    <mergeCell ref="A1:H3"/>
    <mergeCell ref="B37:F38"/>
    <mergeCell ref="E10:F10"/>
    <mergeCell ref="C26:D26"/>
    <mergeCell ref="C21:D21"/>
    <mergeCell ref="C25:D25"/>
    <mergeCell ref="E11:F11"/>
    <mergeCell ref="C27:D27"/>
    <mergeCell ref="C29:D29"/>
    <mergeCell ref="C22:D22"/>
    <mergeCell ref="C28:D28"/>
    <mergeCell ref="C23:D23"/>
  </mergeCells>
  <phoneticPr fontId="8" type="noConversion"/>
  <pageMargins left="0.7" right="0.7" top="0.75" bottom="0.75" header="0.3" footer="0.3"/>
  <pageSetup paperSize="9" scale="66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abSelected="1" topLeftCell="A4" workbookViewId="0">
      <selection activeCell="C9" sqref="C9"/>
    </sheetView>
  </sheetViews>
  <sheetFormatPr baseColWidth="10" defaultRowHeight="15" x14ac:dyDescent="0.25"/>
  <cols>
    <col min="2" max="2" width="15.85546875" customWidth="1"/>
    <col min="3" max="3" width="26.5703125" customWidth="1"/>
    <col min="4" max="4" width="13.42578125" customWidth="1"/>
    <col min="5" max="5" width="14.85546875" customWidth="1"/>
    <col min="6" max="6" width="11.42578125" customWidth="1"/>
    <col min="8" max="8" width="0.42578125" customWidth="1"/>
  </cols>
  <sheetData>
    <row r="1" spans="1:8" x14ac:dyDescent="0.25">
      <c r="A1" s="53" t="s">
        <v>10</v>
      </c>
      <c r="B1" s="54"/>
      <c r="C1" s="54"/>
      <c r="D1" s="54"/>
      <c r="E1" s="54"/>
      <c r="F1" s="54"/>
      <c r="G1" s="54"/>
      <c r="H1" s="54"/>
    </row>
    <row r="2" spans="1:8" x14ac:dyDescent="0.25">
      <c r="A2" s="54"/>
      <c r="B2" s="54"/>
      <c r="C2" s="54"/>
      <c r="D2" s="54"/>
      <c r="E2" s="54"/>
      <c r="F2" s="54"/>
      <c r="G2" s="54"/>
      <c r="H2" s="54"/>
    </row>
    <row r="3" spans="1:8" ht="23.25" customHeight="1" thickBot="1" x14ac:dyDescent="0.3">
      <c r="A3" s="55"/>
      <c r="B3" s="55"/>
      <c r="C3" s="55"/>
      <c r="D3" s="55"/>
      <c r="E3" s="55"/>
      <c r="F3" s="55"/>
      <c r="G3" s="55"/>
      <c r="H3" s="55"/>
    </row>
    <row r="4" spans="1:8" ht="61.5" x14ac:dyDescent="0.25">
      <c r="A4" s="12"/>
      <c r="B4" s="12"/>
      <c r="C4" s="12"/>
      <c r="D4" s="12"/>
      <c r="E4" s="12"/>
      <c r="F4" s="12"/>
      <c r="G4" s="12"/>
      <c r="H4" s="12"/>
    </row>
    <row r="5" spans="1:8" ht="61.5" x14ac:dyDescent="0.25">
      <c r="A5" s="12"/>
      <c r="B5" s="12"/>
      <c r="C5" s="12"/>
      <c r="D5" s="12"/>
      <c r="E5" s="12"/>
      <c r="F5" s="12"/>
      <c r="G5" s="12"/>
      <c r="H5" s="12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5" t="s">
        <v>30</v>
      </c>
      <c r="C7" s="51">
        <v>20260100</v>
      </c>
      <c r="D7" s="1"/>
      <c r="E7" s="1"/>
      <c r="F7" s="1"/>
      <c r="G7" s="1"/>
      <c r="H7" s="1"/>
    </row>
    <row r="8" spans="1:8" x14ac:dyDescent="0.25">
      <c r="A8" s="1"/>
      <c r="B8" s="5" t="s">
        <v>0</v>
      </c>
      <c r="C8" s="52">
        <v>46114</v>
      </c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2" t="str">
        <f>+FACTURE!D10</f>
        <v>N° client :</v>
      </c>
      <c r="E10" s="85" t="str">
        <f>+FACTURE!E10</f>
        <v>0600</v>
      </c>
      <c r="F10" s="85"/>
      <c r="G10" s="1"/>
      <c r="H10" s="1"/>
    </row>
    <row r="11" spans="1:8" x14ac:dyDescent="0.25">
      <c r="A11" s="1"/>
      <c r="B11" s="1"/>
      <c r="C11" s="1"/>
      <c r="D11" s="2" t="s">
        <v>1</v>
      </c>
      <c r="E11" s="85" t="s">
        <v>8</v>
      </c>
      <c r="F11" s="85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ht="15.75" x14ac:dyDescent="0.25">
      <c r="A15" s="1"/>
      <c r="B15" s="15" t="s">
        <v>14</v>
      </c>
      <c r="C15" s="14" t="str">
        <f>+'DEVIS WMS'!B11</f>
        <v>DACIA LOGAN</v>
      </c>
      <c r="D15" s="1"/>
      <c r="E15" s="1"/>
      <c r="F15" s="1"/>
      <c r="G15" s="1"/>
      <c r="H15" s="1"/>
    </row>
    <row r="16" spans="1:8" ht="15.75" x14ac:dyDescent="0.25">
      <c r="A16" s="1"/>
      <c r="B16" s="15" t="s">
        <v>15</v>
      </c>
      <c r="C16" s="14" t="str">
        <f>+'DEVIS WMS'!B12</f>
        <v>204318 - J</v>
      </c>
      <c r="D16" s="1"/>
      <c r="E16" s="1"/>
      <c r="F16" s="1"/>
      <c r="G16" s="1"/>
      <c r="H16" s="1"/>
    </row>
    <row r="17" spans="1:8" ht="15.75" x14ac:dyDescent="0.25">
      <c r="A17" s="1"/>
      <c r="B17" s="15" t="s">
        <v>17</v>
      </c>
      <c r="C17" s="14">
        <f>+'DEVIS WMS'!B13</f>
        <v>246235</v>
      </c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9" t="s">
        <v>7</v>
      </c>
      <c r="C21" s="86" t="s">
        <v>2</v>
      </c>
      <c r="D21" s="87"/>
      <c r="E21" s="1"/>
      <c r="F21" s="1"/>
    </row>
    <row r="22" spans="1:8" x14ac:dyDescent="0.25">
      <c r="A22" s="1"/>
      <c r="B22" s="8">
        <f>+'DEVIS WMS'!C16</f>
        <v>5</v>
      </c>
      <c r="C22" s="81" t="str">
        <f>+'DEVIS WMS'!A16</f>
        <v xml:space="preserve">HUILE MOTEUR </v>
      </c>
      <c r="D22" s="82"/>
      <c r="E22" s="1"/>
      <c r="F22" s="1"/>
    </row>
    <row r="23" spans="1:8" x14ac:dyDescent="0.25">
      <c r="A23" s="1"/>
      <c r="B23" s="8">
        <f>+'DEVIS WMS'!C17</f>
        <v>1</v>
      </c>
      <c r="C23" s="81" t="str">
        <f>+'DEVIS WMS'!A17</f>
        <v>FILTRE A HUILE</v>
      </c>
      <c r="D23" s="82"/>
      <c r="E23" s="1"/>
      <c r="F23" s="1"/>
    </row>
    <row r="24" spans="1:8" x14ac:dyDescent="0.25">
      <c r="A24" s="1"/>
      <c r="B24" s="8">
        <f>+'DEVIS WMS'!C18</f>
        <v>4</v>
      </c>
      <c r="C24" s="81" t="str">
        <f>+'DEVIS WMS'!A18</f>
        <v>SERRURES PORTIERES</v>
      </c>
      <c r="D24" s="82"/>
      <c r="E24" s="1"/>
      <c r="F24" s="1"/>
    </row>
    <row r="25" spans="1:8" ht="15" customHeight="1" x14ac:dyDescent="0.25">
      <c r="A25" s="1"/>
      <c r="B25" s="8">
        <f>+'DEVIS WMS'!C19</f>
        <v>2</v>
      </c>
      <c r="C25" s="81" t="str">
        <f>+'DEVIS WMS'!A19</f>
        <v>KIT AMPOULES</v>
      </c>
      <c r="D25" s="82"/>
      <c r="E25" s="1"/>
      <c r="F25" s="1"/>
    </row>
    <row r="26" spans="1:8" ht="15" customHeight="1" x14ac:dyDescent="0.25">
      <c r="A26" s="1"/>
      <c r="B26" s="8">
        <f>+'DEVIS WMS'!C20</f>
        <v>2</v>
      </c>
      <c r="C26" s="81" t="str">
        <f>+'DEVIS WMS'!A20</f>
        <v>LUSTAGE OPTIQUES AVANT</v>
      </c>
      <c r="D26" s="82"/>
      <c r="E26" s="1"/>
      <c r="F26" s="1"/>
    </row>
    <row r="27" spans="1:8" ht="15" customHeight="1" x14ac:dyDescent="0.25">
      <c r="A27" s="1"/>
      <c r="B27" s="8">
        <f>+'DEVIS WMS'!C21</f>
        <v>1</v>
      </c>
      <c r="C27" s="81" t="str">
        <f>+'DEVIS WMS'!A21</f>
        <v>ENTRETIEN SERRURES</v>
      </c>
      <c r="D27" s="82"/>
      <c r="E27" s="1"/>
      <c r="F27" s="1"/>
    </row>
    <row r="28" spans="1:8" ht="15" customHeight="1" x14ac:dyDescent="0.25">
      <c r="A28" s="1"/>
      <c r="B28" s="8">
        <f>+'DEVIS WMS'!C22</f>
        <v>1</v>
      </c>
      <c r="C28" s="81" t="str">
        <f>+'DEVIS WMS'!A22</f>
        <v>COMMODO KLAXON</v>
      </c>
      <c r="D28" s="82"/>
      <c r="E28" s="1"/>
      <c r="F28" s="1"/>
    </row>
    <row r="29" spans="1:8" ht="15" customHeight="1" x14ac:dyDescent="0.25">
      <c r="A29" s="1"/>
      <c r="B29" s="8">
        <f>+'DEVIS WMS'!C23</f>
        <v>1</v>
      </c>
      <c r="C29" s="81" t="str">
        <f>+'DEVIS WMS'!A23</f>
        <v>TETE INJECTEURS</v>
      </c>
      <c r="D29" s="82"/>
      <c r="E29" s="1"/>
    </row>
    <row r="30" spans="1:8" ht="15" customHeight="1" x14ac:dyDescent="0.25">
      <c r="A30" s="1"/>
      <c r="B30" s="8">
        <f>+'DEVIS WMS'!C24</f>
        <v>1</v>
      </c>
      <c r="C30" s="81" t="str">
        <f>+'DEVIS WMS'!A24</f>
        <v>MAIN D'ŒUVRE GENERALE</v>
      </c>
      <c r="D30" s="82"/>
      <c r="E30" s="1"/>
    </row>
    <row r="31" spans="1:8" x14ac:dyDescent="0.25">
      <c r="A31" s="1"/>
      <c r="B31" s="1"/>
      <c r="C31" s="2"/>
      <c r="D31" s="1"/>
      <c r="E31" s="7"/>
      <c r="F31" s="7"/>
      <c r="G31" s="1"/>
      <c r="H31" s="1"/>
    </row>
    <row r="32" spans="1:8" x14ac:dyDescent="0.25">
      <c r="A32" s="1"/>
      <c r="B32" s="1"/>
      <c r="C32" s="2"/>
      <c r="D32" s="1"/>
      <c r="E32" s="1"/>
      <c r="F32" s="1"/>
      <c r="G32" s="1"/>
      <c r="H32" s="1"/>
    </row>
    <row r="33" spans="1:8" x14ac:dyDescent="0.25">
      <c r="A33" s="1"/>
      <c r="B33" s="7"/>
      <c r="C33" s="7"/>
      <c r="D33" s="7"/>
      <c r="E33" s="1"/>
      <c r="F33" s="1"/>
      <c r="G33" s="1"/>
      <c r="H33" s="1"/>
    </row>
    <row r="34" spans="1:8" x14ac:dyDescent="0.25">
      <c r="A34" s="1"/>
      <c r="B34" s="7"/>
      <c r="C34" s="7"/>
      <c r="D34" s="7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6"/>
      <c r="C36" s="1"/>
      <c r="D36" s="1"/>
      <c r="E36" s="1" t="s">
        <v>9</v>
      </c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ht="15.75" x14ac:dyDescent="0.25">
      <c r="A46" s="1"/>
      <c r="B46" s="1"/>
      <c r="C46" s="1"/>
      <c r="D46" s="1"/>
      <c r="E46" s="13"/>
      <c r="F46" s="13"/>
      <c r="G46" s="1"/>
      <c r="H46" s="1"/>
    </row>
    <row r="47" spans="1:8" ht="15.75" x14ac:dyDescent="0.25">
      <c r="A47" s="1"/>
      <c r="B47" s="1"/>
      <c r="C47" s="1"/>
      <c r="D47" s="1"/>
      <c r="E47" s="13"/>
      <c r="F47" s="13"/>
      <c r="G47" s="1"/>
      <c r="H47" s="1"/>
    </row>
    <row r="48" spans="1:8" ht="15.75" x14ac:dyDescent="0.25">
      <c r="A48" s="1"/>
      <c r="B48" s="1"/>
      <c r="C48" s="1"/>
      <c r="D48" s="1"/>
      <c r="E48" s="13"/>
      <c r="F48" s="13"/>
      <c r="G48" s="1"/>
      <c r="H48" s="1"/>
    </row>
    <row r="49" spans="1:8" ht="15.75" x14ac:dyDescent="0.25">
      <c r="A49" s="83" t="s">
        <v>11</v>
      </c>
      <c r="B49" s="83"/>
      <c r="C49" s="83"/>
      <c r="D49" s="83"/>
      <c r="E49" s="83"/>
      <c r="F49" s="83"/>
      <c r="G49" s="83"/>
      <c r="H49" s="83"/>
    </row>
    <row r="50" spans="1:8" ht="15.75" x14ac:dyDescent="0.25">
      <c r="A50" s="68" t="s">
        <v>12</v>
      </c>
      <c r="B50" s="68"/>
      <c r="C50" s="68"/>
      <c r="D50" s="68"/>
      <c r="E50" s="68"/>
      <c r="F50" s="68"/>
      <c r="G50" s="68"/>
      <c r="H50" s="68"/>
    </row>
    <row r="51" spans="1:8" ht="15.75" x14ac:dyDescent="0.25">
      <c r="A51" s="68" t="s">
        <v>13</v>
      </c>
      <c r="B51" s="68"/>
      <c r="C51" s="68"/>
      <c r="D51" s="68"/>
      <c r="E51" s="68"/>
      <c r="F51" s="68"/>
      <c r="G51" s="68"/>
      <c r="H51" s="68"/>
    </row>
  </sheetData>
  <mergeCells count="16">
    <mergeCell ref="C28:D28"/>
    <mergeCell ref="A1:H3"/>
    <mergeCell ref="E10:F10"/>
    <mergeCell ref="E11:F11"/>
    <mergeCell ref="C21:D21"/>
    <mergeCell ref="C25:D25"/>
    <mergeCell ref="C22:D22"/>
    <mergeCell ref="C23:D23"/>
    <mergeCell ref="C24:D24"/>
    <mergeCell ref="C26:D26"/>
    <mergeCell ref="C27:D27"/>
    <mergeCell ref="A49:H49"/>
    <mergeCell ref="A50:H50"/>
    <mergeCell ref="A51:H51"/>
    <mergeCell ref="C30:D30"/>
    <mergeCell ref="C29:D29"/>
  </mergeCells>
  <pageMargins left="0.7" right="0.7" top="0.75" bottom="0.75" header="0.3" footer="0.3"/>
  <pageSetup paperSize="9" scale="82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DEVIS WMS</vt:lpstr>
      <vt:lpstr>DEVIS AMANE AUTO</vt:lpstr>
      <vt:lpstr>DEVIS C RENOVA</vt:lpstr>
      <vt:lpstr>FACTURE</vt:lpstr>
      <vt:lpstr>BON LIVRAISON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anas</cp:lastModifiedBy>
  <cp:lastPrinted>2026-04-29T11:44:12Z</cp:lastPrinted>
  <dcterms:created xsi:type="dcterms:W3CDTF">2015-06-05T18:17:20Z</dcterms:created>
  <dcterms:modified xsi:type="dcterms:W3CDTF">2026-04-30T09:32:45Z</dcterms:modified>
</cp:coreProperties>
</file>