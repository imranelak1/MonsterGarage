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s\Desktop\DOCUMENTS GESTION 2026\"/>
    </mc:Choice>
  </mc:AlternateContent>
  <bookViews>
    <workbookView xWindow="-120" yWindow="-120" windowWidth="29040" windowHeight="15840" firstSheet="2" activeTab="7"/>
  </bookViews>
  <sheets>
    <sheet name="RELEVE DE SITUATION" sheetId="6" r:id="rId1"/>
    <sheet name="ISYA CAR" sheetId="1" r:id="rId2"/>
    <sheet name="REDA" sheetId="2" r:id="rId3"/>
    <sheet name="WILAYA" sheetId="7" r:id="rId4"/>
    <sheet name="RELEVE DE SITUATION WILAYA" sheetId="18" r:id="rId5"/>
    <sheet name="D P E Marrakech" sheetId="15" r:id="rId6"/>
    <sheet name="CR HARBIL" sheetId="9" r:id="rId7"/>
    <sheet name="RELEVE DE SITUATION HARBIL" sheetId="19" r:id="rId8"/>
    <sheet name="GMMO 3" sheetId="10" r:id="rId9"/>
    <sheet name="PC MARRAKECH" sheetId="13" r:id="rId10"/>
    <sheet name="RELEVE DE SITUATION PC MKH" sheetId="20" r:id="rId11"/>
    <sheet name="CU MARRAKECH" sheetId="14" r:id="rId12"/>
    <sheet name="AMEE" sheetId="17" r:id="rId13"/>
  </sheets>
  <externalReferences>
    <externalReference r:id="rId14"/>
    <externalReference r:id="rId15"/>
    <externalReference r:id="rId16"/>
    <externalReference r:id="rId17"/>
    <externalReference r:id="rId18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9" l="1"/>
  <c r="C39" i="19" l="1"/>
  <c r="B39" i="19"/>
  <c r="E59" i="9"/>
  <c r="E60" i="9"/>
  <c r="E61" i="9"/>
  <c r="E62" i="9"/>
  <c r="E63" i="9"/>
  <c r="E64" i="9"/>
  <c r="E65" i="9"/>
  <c r="E66" i="9"/>
  <c r="F31" i="18" l="1"/>
  <c r="F29" i="18"/>
  <c r="D31" i="18"/>
  <c r="E58" i="9" l="1"/>
  <c r="E52" i="9" l="1"/>
  <c r="E53" i="9"/>
  <c r="E55" i="9"/>
  <c r="E56" i="9"/>
  <c r="E57" i="9"/>
  <c r="F28" i="18" l="1"/>
  <c r="E54" i="9" l="1"/>
  <c r="E7" i="18" l="1"/>
  <c r="D7" i="18"/>
  <c r="F27" i="18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F26" i="18"/>
  <c r="F25" i="18"/>
  <c r="E49" i="9"/>
  <c r="F23" i="18" l="1"/>
  <c r="F22" i="18" l="1"/>
  <c r="F24" i="18"/>
  <c r="E31" i="18"/>
  <c r="E58" i="7" l="1"/>
  <c r="E59" i="7"/>
  <c r="E60" i="7"/>
  <c r="E61" i="7"/>
  <c r="E62" i="7"/>
  <c r="E56" i="7"/>
  <c r="E57" i="7"/>
  <c r="E46" i="9" l="1"/>
  <c r="E50" i="9"/>
  <c r="E51" i="9"/>
  <c r="E47" i="9"/>
  <c r="E48" i="9"/>
  <c r="E55" i="7"/>
  <c r="F21" i="18"/>
  <c r="D24" i="19"/>
  <c r="D40" i="19" s="1"/>
  <c r="E44" i="9"/>
  <c r="E45" i="9"/>
  <c r="E43" i="9" l="1"/>
  <c r="E41" i="9" l="1"/>
  <c r="E42" i="9"/>
  <c r="E40" i="9" l="1"/>
  <c r="D15" i="20"/>
  <c r="D14" i="20"/>
  <c r="E54" i="7"/>
  <c r="D26" i="20" l="1"/>
  <c r="F20" i="18"/>
  <c r="D7" i="9" l="1"/>
  <c r="E38" i="9" l="1"/>
  <c r="E39" i="9"/>
  <c r="E37" i="9"/>
  <c r="F18" i="18"/>
  <c r="F19" i="18"/>
  <c r="E36" i="9"/>
  <c r="E51" i="7" l="1"/>
  <c r="E52" i="7"/>
  <c r="F11" i="18"/>
  <c r="F17" i="18" l="1"/>
  <c r="E53" i="7"/>
  <c r="F13" i="18" l="1"/>
  <c r="F14" i="18"/>
  <c r="F15" i="18"/>
  <c r="F16" i="18"/>
  <c r="E47" i="7"/>
  <c r="E49" i="7"/>
  <c r="E50" i="7"/>
  <c r="E46" i="7"/>
  <c r="E45" i="7" l="1"/>
  <c r="F12" i="18" l="1"/>
  <c r="F10" i="18"/>
  <c r="E35" i="9"/>
  <c r="F7" i="18" l="1"/>
  <c r="B12" i="15"/>
  <c r="C13" i="17" l="1"/>
  <c r="E43" i="7"/>
  <c r="E44" i="7"/>
  <c r="E33" i="9" l="1"/>
  <c r="E34" i="9"/>
  <c r="B31" i="9"/>
  <c r="E41" i="7"/>
  <c r="C42" i="7"/>
  <c r="E42" i="7" s="1"/>
  <c r="C32" i="9" l="1"/>
  <c r="E32" i="9" s="1"/>
  <c r="C31" i="9"/>
  <c r="E31" i="9" s="1"/>
  <c r="C30" i="9"/>
  <c r="E30" i="9" s="1"/>
  <c r="C29" i="9"/>
  <c r="E29" i="9" s="1"/>
  <c r="E27" i="9"/>
  <c r="E28" i="9"/>
  <c r="C14" i="13"/>
  <c r="C13" i="13"/>
  <c r="C11" i="17" l="1"/>
  <c r="E11" i="17" s="1"/>
  <c r="C10" i="17"/>
  <c r="E10" i="17" s="1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D7" i="17"/>
  <c r="C11" i="14"/>
  <c r="C12" i="14"/>
  <c r="C26" i="9"/>
  <c r="E26" i="9" s="1"/>
  <c r="C25" i="9"/>
  <c r="E25" i="9" l="1"/>
  <c r="E7" i="17"/>
  <c r="C7" i="17"/>
  <c r="E39" i="7"/>
  <c r="E7" i="7" s="1"/>
  <c r="E40" i="7"/>
  <c r="E24" i="9" l="1"/>
  <c r="E38" i="7"/>
  <c r="E23" i="15" l="1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D7" i="15"/>
  <c r="C7" i="15"/>
  <c r="C20" i="9"/>
  <c r="C19" i="9"/>
  <c r="C18" i="9"/>
  <c r="E7" i="15" l="1"/>
  <c r="C37" i="7"/>
  <c r="E37" i="7" l="1"/>
  <c r="E36" i="7"/>
  <c r="E35" i="7" l="1"/>
  <c r="C17" i="9" l="1"/>
  <c r="E34" i="7" l="1"/>
  <c r="C33" i="7" l="1"/>
  <c r="C32" i="7"/>
  <c r="E33" i="7" l="1"/>
  <c r="E32" i="7" l="1"/>
  <c r="C16" i="9"/>
  <c r="C10" i="14"/>
  <c r="C15" i="9" l="1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D7" i="14"/>
  <c r="C7" i="14"/>
  <c r="C10" i="13"/>
  <c r="C7" i="13" s="1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D7" i="13"/>
  <c r="C11" i="7"/>
  <c r="E11" i="7" s="1"/>
  <c r="E7" i="14" l="1"/>
  <c r="E10" i="13"/>
  <c r="E7" i="13" s="1"/>
  <c r="C11" i="9"/>
  <c r="C7" i="9" s="1"/>
  <c r="E23" i="10" l="1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D7" i="10"/>
  <c r="C7" i="10"/>
  <c r="D7" i="7"/>
  <c r="E28" i="7"/>
  <c r="E29" i="7"/>
  <c r="E30" i="7"/>
  <c r="E31" i="7"/>
  <c r="E27" i="7"/>
  <c r="E26" i="7"/>
  <c r="E25" i="7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24" i="7"/>
  <c r="E7" i="10" l="1"/>
  <c r="E10" i="9"/>
  <c r="E7" i="9" s="1"/>
  <c r="E23" i="7" l="1"/>
  <c r="E22" i="7"/>
  <c r="E12" i="7"/>
  <c r="E13" i="7"/>
  <c r="E14" i="7"/>
  <c r="E15" i="7"/>
  <c r="E16" i="7"/>
  <c r="E17" i="7"/>
  <c r="E18" i="7"/>
  <c r="E19" i="7"/>
  <c r="E20" i="7"/>
  <c r="E21" i="7"/>
  <c r="E10" i="7"/>
  <c r="C7" i="7"/>
  <c r="F27" i="6"/>
  <c r="C15" i="1" l="1"/>
  <c r="E17" i="2" l="1"/>
  <c r="C14" i="2" l="1"/>
  <c r="E16" i="2"/>
  <c r="F24" i="6"/>
  <c r="F25" i="6"/>
  <c r="F26" i="6"/>
  <c r="F23" i="6"/>
  <c r="F32" i="6" s="1"/>
  <c r="C14" i="1" l="1"/>
  <c r="C10" i="1" l="1"/>
  <c r="C7" i="1" s="1"/>
  <c r="E14" i="2"/>
  <c r="E11" i="2"/>
  <c r="E12" i="2"/>
  <c r="E13" i="2"/>
  <c r="E15" i="2"/>
  <c r="E10" i="2"/>
  <c r="D7" i="2"/>
  <c r="C7" i="2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D7" i="1"/>
  <c r="E7" i="2" l="1"/>
  <c r="E10" i="1" l="1"/>
  <c r="E7" i="1" s="1"/>
</calcChain>
</file>

<file path=xl/sharedStrings.xml><?xml version="1.0" encoding="utf-8"?>
<sst xmlns="http://schemas.openxmlformats.org/spreadsheetml/2006/main" count="580" uniqueCount="233">
  <si>
    <t>VEHICULE</t>
  </si>
  <si>
    <t>IMMATRICULATION</t>
  </si>
  <si>
    <t>MONTANT FACTURE</t>
  </si>
  <si>
    <t>ENCAISSE</t>
  </si>
  <si>
    <t>A ENCAISSER</t>
  </si>
  <si>
    <t>RLT CLIO 5</t>
  </si>
  <si>
    <t>50450 - D - 26</t>
  </si>
  <si>
    <t>MONSTER GARAGE</t>
  </si>
  <si>
    <t>WIDINE MOTORS SERVICE</t>
  </si>
  <si>
    <t>RLT CLIO 5 ADB</t>
  </si>
  <si>
    <t>WW</t>
  </si>
  <si>
    <t>DACIA LOGAN</t>
  </si>
  <si>
    <t>DACIA LOGAN 2</t>
  </si>
  <si>
    <t>RLT CLIO 5 2</t>
  </si>
  <si>
    <t>46890 - D - 26</t>
  </si>
  <si>
    <t>SITUATION ISYA CAR</t>
  </si>
  <si>
    <t>RLT ESPACE</t>
  </si>
  <si>
    <t>REDA</t>
  </si>
  <si>
    <t>VW TOUAREG</t>
  </si>
  <si>
    <t>MERCEDES V</t>
  </si>
  <si>
    <t>TOYOTA LC</t>
  </si>
  <si>
    <t>MERCEDES V220d</t>
  </si>
  <si>
    <t>22286 - B - 26 REDA</t>
  </si>
  <si>
    <t>SITUATION REDA</t>
  </si>
  <si>
    <t>TOTAL</t>
  </si>
  <si>
    <t>Client:</t>
  </si>
  <si>
    <t>Relevé d'échéances</t>
  </si>
  <si>
    <t>Cher client,</t>
  </si>
  <si>
    <t>Veuillez trouver ci-dessous le détail des échéances restant à nous devoir,</t>
  </si>
  <si>
    <t>Facture N°</t>
  </si>
  <si>
    <t>Date facture</t>
  </si>
  <si>
    <t>Date échéance</t>
  </si>
  <si>
    <t>Montant</t>
  </si>
  <si>
    <t>Reste à payer</t>
  </si>
  <si>
    <t>TOTAL RESTE A PAYER</t>
  </si>
  <si>
    <t>Dans l'attente de votre prochain règlement, veuillez recevoir, cher client, nos sincères salutations</t>
  </si>
  <si>
    <t>RC: 150241 / IF: 65976431 / ICE: 003524622000063 / Patente: 64006750</t>
  </si>
  <si>
    <t>Adresse: Quartier industriel, sidi ghanem N 534 Bis 2, Marrakech</t>
  </si>
  <si>
    <t>Tél: 0661 10 90 31 / 0660 63 78 64 / E-mail : MonstergarageWMS@gmail.com</t>
  </si>
  <si>
    <t>STE IS-YA CAR</t>
  </si>
  <si>
    <t>Véhicule</t>
  </si>
  <si>
    <t>RENAULT CLIO 5</t>
  </si>
  <si>
    <t>DACIA DUSTER</t>
  </si>
  <si>
    <t>1780 - D - 26</t>
  </si>
  <si>
    <t>1000DH - SIMED</t>
  </si>
  <si>
    <t>A Marrakech le 11/08/2025</t>
  </si>
  <si>
    <t>CHQ 20/09/25</t>
  </si>
  <si>
    <t>DACIA LOGAN WILAYA</t>
  </si>
  <si>
    <t>M204446</t>
  </si>
  <si>
    <t>DACIA DOKKER WILAYA</t>
  </si>
  <si>
    <t>M231618</t>
  </si>
  <si>
    <t>DACIA DUSTER WILAYA</t>
  </si>
  <si>
    <t>M242837</t>
  </si>
  <si>
    <t>M261393</t>
  </si>
  <si>
    <t>RLT KANGOO</t>
  </si>
  <si>
    <t>M161469</t>
  </si>
  <si>
    <t>PGT BOXER</t>
  </si>
  <si>
    <t>M234914</t>
  </si>
  <si>
    <t>MITSUBISHI L200</t>
  </si>
  <si>
    <t>M194117</t>
  </si>
  <si>
    <t>DACIA LODGY</t>
  </si>
  <si>
    <t>M219344</t>
  </si>
  <si>
    <t>M225994</t>
  </si>
  <si>
    <t>M204987</t>
  </si>
  <si>
    <t>M196833</t>
  </si>
  <si>
    <t>M223629</t>
  </si>
  <si>
    <t>SITUATION WILAYA MKH</t>
  </si>
  <si>
    <t>PGT PARTNER TEPEE</t>
  </si>
  <si>
    <t>M191728</t>
  </si>
  <si>
    <t>SITUATION CR HARBIL</t>
  </si>
  <si>
    <t>JCB</t>
  </si>
  <si>
    <t>J202953</t>
  </si>
  <si>
    <t>M204836</t>
  </si>
  <si>
    <t>MERCEDES C</t>
  </si>
  <si>
    <t>356 - 96</t>
  </si>
  <si>
    <t>SITUATION GMMO</t>
  </si>
  <si>
    <t>RLT MASTER POLICE</t>
  </si>
  <si>
    <t>P191816</t>
  </si>
  <si>
    <t>RLT MASTER AMB</t>
  </si>
  <si>
    <t>J257528</t>
  </si>
  <si>
    <t>FIAT DOBLO</t>
  </si>
  <si>
    <t>J248319</t>
  </si>
  <si>
    <t>FORD TRANSIT AMB</t>
  </si>
  <si>
    <t>J207789</t>
  </si>
  <si>
    <t>DACIA DOCKER WIL</t>
  </si>
  <si>
    <t>MITSUBISHI FUSO</t>
  </si>
  <si>
    <t>M194199</t>
  </si>
  <si>
    <t>FIAT DOBLO CR HARBIL</t>
  </si>
  <si>
    <t>JCB HARBIL</t>
  </si>
  <si>
    <t>PGT 508 WILAYA</t>
  </si>
  <si>
    <t>81044 - E - 1</t>
  </si>
  <si>
    <t>SITUATION PROTECTION CIVILE</t>
  </si>
  <si>
    <t>PGT BOXER PC</t>
  </si>
  <si>
    <t>PC232760</t>
  </si>
  <si>
    <t>SITUATION CONSEIL COMMUNAL</t>
  </si>
  <si>
    <t>RLT KANGOO CCOM</t>
  </si>
  <si>
    <t>J157239</t>
  </si>
  <si>
    <t>MITSUBISHI FUSO WILA</t>
  </si>
  <si>
    <t>MITSUBISHI PAJERO HARB</t>
  </si>
  <si>
    <t>J219569</t>
  </si>
  <si>
    <t>DACIA LOGAN WILA</t>
  </si>
  <si>
    <t>M213068</t>
  </si>
  <si>
    <t>M197367</t>
  </si>
  <si>
    <t>RLT MASTER PC</t>
  </si>
  <si>
    <t>PC200210</t>
  </si>
  <si>
    <t>DACIA DUSTER WILA</t>
  </si>
  <si>
    <t>M242833</t>
  </si>
  <si>
    <t>HYUNDAI HD65 HARB</t>
  </si>
  <si>
    <t>J242298</t>
  </si>
  <si>
    <t>FORD TRANSIT HARB</t>
  </si>
  <si>
    <t>HYUNDAI HD78 HARB</t>
  </si>
  <si>
    <t>J243996</t>
  </si>
  <si>
    <t>M194016</t>
  </si>
  <si>
    <t>VW TOUAREG WILA</t>
  </si>
  <si>
    <t>32450 - E - 1</t>
  </si>
  <si>
    <t>SITUATION NARSA</t>
  </si>
  <si>
    <t>DACIA DOCKER NARSA</t>
  </si>
  <si>
    <t>M202658</t>
  </si>
  <si>
    <t>M218558</t>
  </si>
  <si>
    <t>RLT MASTER HARBIL</t>
  </si>
  <si>
    <t>J248320</t>
  </si>
  <si>
    <t>JEEP GD CHEROKEE WILA</t>
  </si>
  <si>
    <t>41724 - T - 1</t>
  </si>
  <si>
    <t>RLT MASTER HARB</t>
  </si>
  <si>
    <t>RLT KANGOO CU MKH</t>
  </si>
  <si>
    <t>J149926</t>
  </si>
  <si>
    <t>J176074</t>
  </si>
  <si>
    <t>CITROEN BERLINGO NARSA</t>
  </si>
  <si>
    <t>M154791</t>
  </si>
  <si>
    <t>VW PASSAT AMEE</t>
  </si>
  <si>
    <t>M166303</t>
  </si>
  <si>
    <t>VW GOLF AMEE</t>
  </si>
  <si>
    <t>M167863</t>
  </si>
  <si>
    <t>RLT KANGOO PC</t>
  </si>
  <si>
    <t>PC130884</t>
  </si>
  <si>
    <t>RENAULT TRUCK</t>
  </si>
  <si>
    <t>PC172914</t>
  </si>
  <si>
    <t>DACIA DUSTER AMEE</t>
  </si>
  <si>
    <t>M216479</t>
  </si>
  <si>
    <t>MITSUBISHI PAJERO SPORT</t>
  </si>
  <si>
    <t>HYUNDAI ACCENT HARBIL</t>
  </si>
  <si>
    <t>J207790</t>
  </si>
  <si>
    <t>DACIA DOCKER HARB</t>
  </si>
  <si>
    <t>J204317</t>
  </si>
  <si>
    <t>SEM NIVELEUSE</t>
  </si>
  <si>
    <t>J242297</t>
  </si>
  <si>
    <t>JCB ZX428 HARB</t>
  </si>
  <si>
    <t>JCB TRACTOPELLE</t>
  </si>
  <si>
    <t>M199901</t>
  </si>
  <si>
    <t>VW PASSAT</t>
  </si>
  <si>
    <t>MITSUBISHI PAJERO PC</t>
  </si>
  <si>
    <t>PC159174</t>
  </si>
  <si>
    <t>J215466</t>
  </si>
  <si>
    <t>M218556</t>
  </si>
  <si>
    <t>PGT PARTNER TEPEE WILA</t>
  </si>
  <si>
    <t>DACIA LOGAN AMEE</t>
  </si>
  <si>
    <t>M216484</t>
  </si>
  <si>
    <t>N° FACTURE</t>
  </si>
  <si>
    <t>WILA - 2504</t>
  </si>
  <si>
    <t>FIAT SCUDO</t>
  </si>
  <si>
    <t>M197716</t>
  </si>
  <si>
    <t>DACIA DOCKER WILA</t>
  </si>
  <si>
    <t>M225995</t>
  </si>
  <si>
    <t>M249170</t>
  </si>
  <si>
    <t>M204865</t>
  </si>
  <si>
    <t>DACIA LODGY WILA</t>
  </si>
  <si>
    <t>M200487</t>
  </si>
  <si>
    <t>WILA - 2509</t>
  </si>
  <si>
    <t>VW GOLF</t>
  </si>
  <si>
    <t>FORD TRANSIT AMB HARB</t>
  </si>
  <si>
    <t>X</t>
  </si>
  <si>
    <t>MITSU PAJERO AMB HARB</t>
  </si>
  <si>
    <t>RLT MASTER AMB HARB</t>
  </si>
  <si>
    <t>M199902</t>
  </si>
  <si>
    <t>M195619</t>
  </si>
  <si>
    <t>SITUATION C.R HARBIL</t>
  </si>
  <si>
    <t>SITUATION PC MARRAKECH</t>
  </si>
  <si>
    <t>PC - 202502</t>
  </si>
  <si>
    <t>PC - 202501</t>
  </si>
  <si>
    <t>ZODIAC YAMAHA 50CC</t>
  </si>
  <si>
    <t>BARGE YAMAHA 30CC</t>
  </si>
  <si>
    <t>ESNWL114ZAB010</t>
  </si>
  <si>
    <t>PT - SEAA0014A011</t>
  </si>
  <si>
    <t>VJMO - S01NF10030773</t>
  </si>
  <si>
    <t>VJMO501NF10030780</t>
  </si>
  <si>
    <t>ESNWL107ZAI910</t>
  </si>
  <si>
    <t>VJMO-501NF10030756</t>
  </si>
  <si>
    <t>VJMO501NF10030766</t>
  </si>
  <si>
    <t>M216483</t>
  </si>
  <si>
    <t>SITUATION AMEE</t>
  </si>
  <si>
    <t>J207799</t>
  </si>
  <si>
    <t>FORD TRANSIT AMB HARBIL</t>
  </si>
  <si>
    <t>MITSUBISHI PAJERO SP AMB HARB</t>
  </si>
  <si>
    <t xml:space="preserve">MITSUBISHI PAJERO SP AMB </t>
  </si>
  <si>
    <t>M195033</t>
  </si>
  <si>
    <t xml:space="preserve">DACIA LODGY </t>
  </si>
  <si>
    <t xml:space="preserve">DACIA DOCKER </t>
  </si>
  <si>
    <t xml:space="preserve">DACIA LOGAN </t>
  </si>
  <si>
    <t>TOYOTA HILUX</t>
  </si>
  <si>
    <t>M 215843</t>
  </si>
  <si>
    <t>HYUNDAI I40 - HARB</t>
  </si>
  <si>
    <t>RENAULT KANGOO - HARB</t>
  </si>
  <si>
    <t>J 202955</t>
  </si>
  <si>
    <t>J 217690</t>
  </si>
  <si>
    <t>FORD TRANSIT</t>
  </si>
  <si>
    <t>HYUNDAI I40</t>
  </si>
  <si>
    <t>RENAULT KANGOO</t>
  </si>
  <si>
    <t>M218563</t>
  </si>
  <si>
    <t>M235133</t>
  </si>
  <si>
    <t>M197496</t>
  </si>
  <si>
    <t>J 219569</t>
  </si>
  <si>
    <t>J 248320</t>
  </si>
  <si>
    <t xml:space="preserve">RENAULT MASTER </t>
  </si>
  <si>
    <t>MERCEDES E</t>
  </si>
  <si>
    <t>116-96</t>
  </si>
  <si>
    <t>KM</t>
  </si>
  <si>
    <t>J 185418</t>
  </si>
  <si>
    <t>DACIA DUSTER HARBIL</t>
  </si>
  <si>
    <t>DACIA DUSTER - WILA</t>
  </si>
  <si>
    <t>JEEP GD CHEROKEE</t>
  </si>
  <si>
    <t>J 207789</t>
  </si>
  <si>
    <t>J 0248319</t>
  </si>
  <si>
    <t>J 0257528</t>
  </si>
  <si>
    <t>M199903</t>
  </si>
  <si>
    <t>PEUGEOT PARTNER</t>
  </si>
  <si>
    <t>M174633</t>
  </si>
  <si>
    <t>RENAULT MASTER HARB</t>
  </si>
  <si>
    <t>MITSUBISHI PAJERO SPORT HARB</t>
  </si>
  <si>
    <t>J0248320</t>
  </si>
  <si>
    <t xml:space="preserve">MITSUBISHI PAJERO SPORT </t>
  </si>
  <si>
    <t>DATE FACTURE</t>
  </si>
  <si>
    <t>J 204318</t>
  </si>
  <si>
    <t>DACIA LOGAN HARBIL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</si>
</sst>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36"/>
      <color rgb="FF0070C0"/>
      <name val="Aptos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u val="singleAccounting"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48"/>
      <color rgb="FF0070C0"/>
      <name val="Calibri"/>
      <family val="2"/>
      <scheme val="minor"/>
    </font>
    <font>
      <u val="double"/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theme="7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0" fillId="0" borderId="0" xfId="1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64" fontId="13" fillId="0" borderId="0" xfId="1" applyFont="1"/>
    <xf numFmtId="164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Font="1" applyBorder="1"/>
    <xf numFmtId="164" fontId="0" fillId="0" borderId="2" xfId="1" applyFont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/>
    <xf numFmtId="164" fontId="0" fillId="0" borderId="2" xfId="1" applyFont="1" applyFill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4" fontId="0" fillId="0" borderId="2" xfId="1" applyFont="1" applyFill="1" applyBorder="1"/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164" fontId="8" fillId="0" borderId="2" xfId="1" applyFont="1" applyBorder="1" applyAlignment="1">
      <alignment horizontal="center" vertical="center"/>
    </xf>
    <xf numFmtId="164" fontId="8" fillId="0" borderId="2" xfId="1" applyFont="1" applyFill="1" applyBorder="1" applyAlignment="1">
      <alignment horizontal="center" vertical="center"/>
    </xf>
    <xf numFmtId="0" fontId="8" fillId="0" borderId="2" xfId="0" applyFont="1" applyBorder="1"/>
    <xf numFmtId="164" fontId="1" fillId="0" borderId="2" xfId="1" applyFon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8" fillId="0" borderId="2" xfId="1" applyFont="1" applyBorder="1"/>
    <xf numFmtId="0" fontId="8" fillId="0" borderId="2" xfId="0" applyFont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164" fontId="8" fillId="0" borderId="0" xfId="1" applyFont="1"/>
    <xf numFmtId="164" fontId="8" fillId="0" borderId="3" xfId="1" applyFont="1" applyBorder="1"/>
    <xf numFmtId="0" fontId="8" fillId="0" borderId="4" xfId="0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64" fontId="12" fillId="7" borderId="2" xfId="0" applyNumberFormat="1" applyFont="1" applyFill="1" applyBorder="1"/>
    <xf numFmtId="0" fontId="8" fillId="5" borderId="2" xfId="0" applyFont="1" applyFill="1" applyBorder="1" applyAlignment="1">
      <alignment horizontal="center" vertical="center"/>
    </xf>
    <xf numFmtId="164" fontId="8" fillId="5" borderId="2" xfId="1" applyFont="1" applyFill="1" applyBorder="1" applyAlignment="1">
      <alignment horizontal="center" vertical="center"/>
    </xf>
    <xf numFmtId="0" fontId="0" fillId="5" borderId="2" xfId="0" applyFill="1" applyBorder="1"/>
    <xf numFmtId="164" fontId="8" fillId="5" borderId="2" xfId="1" applyFont="1" applyFill="1" applyBorder="1"/>
    <xf numFmtId="164" fontId="8" fillId="5" borderId="2" xfId="0" applyNumberFormat="1" applyFont="1" applyFill="1" applyBorder="1"/>
    <xf numFmtId="0" fontId="8" fillId="5" borderId="2" xfId="0" applyFont="1" applyFill="1" applyBorder="1"/>
    <xf numFmtId="0" fontId="8" fillId="5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64" fontId="17" fillId="0" borderId="2" xfId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/>
    <xf numFmtId="0" fontId="0" fillId="0" borderId="2" xfId="0" applyFont="1" applyFill="1" applyBorder="1"/>
    <xf numFmtId="0" fontId="0" fillId="0" borderId="2" xfId="0" applyFont="1" applyBorder="1"/>
    <xf numFmtId="0" fontId="8" fillId="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4" fontId="0" fillId="0" borderId="2" xfId="1" applyNumberFormat="1" applyFont="1" applyBorder="1" applyAlignment="1">
      <alignment horizontal="center" vertical="center"/>
    </xf>
    <xf numFmtId="14" fontId="1" fillId="0" borderId="2" xfId="1" applyNumberFormat="1" applyFont="1" applyFill="1" applyBorder="1" applyAlignment="1">
      <alignment horizontal="center" vertical="center"/>
    </xf>
    <xf numFmtId="14" fontId="0" fillId="0" borderId="2" xfId="2" applyNumberFormat="1" applyFont="1" applyBorder="1" applyAlignment="1">
      <alignment horizontal="center"/>
    </xf>
    <xf numFmtId="14" fontId="0" fillId="0" borderId="2" xfId="1" applyNumberFormat="1" applyFont="1" applyBorder="1" applyAlignment="1">
      <alignment horizontal="center"/>
    </xf>
    <xf numFmtId="14" fontId="0" fillId="0" borderId="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0</xdr:row>
      <xdr:rowOff>9525</xdr:rowOff>
    </xdr:from>
    <xdr:to>
      <xdr:col>7</xdr:col>
      <xdr:colOff>400050</xdr:colOff>
      <xdr:row>2</xdr:row>
      <xdr:rowOff>371475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DC22B5C3-5D9B-4917-A069-907A29AD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353050" y="9525"/>
          <a:ext cx="1514475" cy="742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OCUMENTS%20GESTION%202025/LIVRE%20DE%20CAISSE%20&amp;%20SALAIRES%20DU%2001-03-2025%20AU%2031-03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OCUMENTS%20GESTION%202025/LIVRE%20DE%20CAISSE%20&amp;%20SALAIRES%20DU%2001-07-2025%20AU%2030-07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OCUMENTS%20GESTION%202025/LIVRE%20DE%20CAISSE%20&amp;%20SALAIRES%20DU%2001-11-2025%20AU%2030-11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OCUMENTS%20GESTION%202025/LIVRE%20DE%20CAISSE%20&amp;%20SALAIRES%20DU%2001-12-2025%20AU%2030-12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IVRE%20DE%20CAISSE%20&amp;%20SALAIRES%20DU%2001-01-2026%20AU%2030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DE CAISSE"/>
      <sheetName val="SALAIRES"/>
      <sheetName val="DETAIL CA MOIS"/>
      <sheetName val="BCE"/>
    </sheetNames>
    <sheetDataSet>
      <sheetData sheetId="0" refreshError="1"/>
      <sheetData sheetId="1" refreshError="1"/>
      <sheetData sheetId="2">
        <row r="13">
          <cell r="C13">
            <v>38070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DE CAISSE"/>
      <sheetName val="SALAIRES"/>
      <sheetName val="DETAIL CA MOIS"/>
      <sheetName val="BCE"/>
    </sheetNames>
    <sheetDataSet>
      <sheetData sheetId="0" refreshError="1"/>
      <sheetData sheetId="1" refreshError="1"/>
      <sheetData sheetId="2">
        <row r="15">
          <cell r="C15">
            <v>7992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DE CAISSE"/>
      <sheetName val="SALAIRES"/>
      <sheetName val="DETAIL CA MOIS"/>
      <sheetName val="BCE"/>
      <sheetName val="REPART CA"/>
    </sheetNames>
    <sheetDataSet>
      <sheetData sheetId="0">
        <row r="15">
          <cell r="E15">
            <v>1200</v>
          </cell>
        </row>
      </sheetData>
      <sheetData sheetId="1" refreshError="1"/>
      <sheetData sheetId="2">
        <row r="13">
          <cell r="F13">
            <v>5820</v>
          </cell>
        </row>
        <row r="28">
          <cell r="C28">
            <v>11227.08</v>
          </cell>
        </row>
        <row r="30">
          <cell r="C30">
            <v>8852.1</v>
          </cell>
        </row>
        <row r="33">
          <cell r="C33">
            <v>2676</v>
          </cell>
        </row>
        <row r="34">
          <cell r="C34">
            <v>1836</v>
          </cell>
        </row>
        <row r="36">
          <cell r="C36">
            <v>4242</v>
          </cell>
        </row>
      </sheetData>
      <sheetData sheetId="3" refreshError="1"/>
      <sheetData sheetId="4">
        <row r="3">
          <cell r="B3">
            <v>123925.45999999999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DE CAISSE"/>
      <sheetName val="SALAIRES"/>
      <sheetName val="DETAIL CA MOIS"/>
      <sheetName val="BCE"/>
      <sheetName val="REPART CA"/>
    </sheetNames>
    <sheetDataSet>
      <sheetData sheetId="0" refreshError="1"/>
      <sheetData sheetId="1" refreshError="1"/>
      <sheetData sheetId="2">
        <row r="15">
          <cell r="E15">
            <v>49050.76</v>
          </cell>
        </row>
        <row r="19">
          <cell r="C19">
            <v>19245</v>
          </cell>
        </row>
        <row r="22">
          <cell r="C22">
            <v>6315</v>
          </cell>
        </row>
        <row r="23">
          <cell r="C23">
            <v>10242</v>
          </cell>
        </row>
        <row r="24">
          <cell r="C24">
            <v>8970</v>
          </cell>
        </row>
        <row r="35">
          <cell r="C35">
            <v>540</v>
          </cell>
        </row>
      </sheetData>
      <sheetData sheetId="3" refreshError="1"/>
      <sheetData sheetId="4">
        <row r="3">
          <cell r="B3">
            <v>142005.85999999999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DE CAISSE"/>
      <sheetName val="SALAIRES"/>
      <sheetName val="DETAIL CA MOIS"/>
      <sheetName val="BCE"/>
      <sheetName val="REPART CA"/>
    </sheetNames>
    <sheetDataSet>
      <sheetData sheetId="0" refreshError="1"/>
      <sheetData sheetId="1" refreshError="1"/>
      <sheetData sheetId="2">
        <row r="23">
          <cell r="D23">
            <v>14736.84</v>
          </cell>
        </row>
        <row r="24">
          <cell r="D24">
            <v>13979</v>
          </cell>
        </row>
        <row r="26">
          <cell r="D26">
            <v>7440</v>
          </cell>
        </row>
        <row r="28">
          <cell r="D28">
            <v>1689</v>
          </cell>
        </row>
        <row r="30">
          <cell r="D30">
            <v>5190</v>
          </cell>
        </row>
        <row r="32">
          <cell r="D32">
            <v>4049.4</v>
          </cell>
        </row>
        <row r="34">
          <cell r="D34">
            <v>9795</v>
          </cell>
        </row>
        <row r="38">
          <cell r="D38">
            <v>35100</v>
          </cell>
        </row>
        <row r="42">
          <cell r="D42">
            <v>4508.3999999999996</v>
          </cell>
        </row>
        <row r="43">
          <cell r="D43">
            <v>9989</v>
          </cell>
        </row>
        <row r="44">
          <cell r="D44">
            <v>28462</v>
          </cell>
        </row>
        <row r="45">
          <cell r="C45" t="str">
            <v>J215466</v>
          </cell>
          <cell r="D45">
            <v>32395</v>
          </cell>
        </row>
        <row r="46">
          <cell r="D46">
            <v>39953</v>
          </cell>
        </row>
        <row r="52">
          <cell r="C52" t="str">
            <v>M154916</v>
          </cell>
        </row>
        <row r="58">
          <cell r="D58">
            <v>6744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9"/>
  <sheetViews>
    <sheetView topLeftCell="A4" workbookViewId="0">
      <selection activeCell="F39" sqref="F39"/>
    </sheetView>
  </sheetViews>
  <sheetFormatPr baseColWidth="10" defaultRowHeight="15"/>
  <cols>
    <col min="3" max="3" width="14.85546875" bestFit="1" customWidth="1"/>
    <col min="4" max="4" width="24.5703125" bestFit="1" customWidth="1"/>
    <col min="5" max="5" width="10.42578125" bestFit="1" customWidth="1"/>
    <col min="6" max="6" width="12.85546875" bestFit="1" customWidth="1"/>
  </cols>
  <sheetData>
    <row r="1" spans="1:8">
      <c r="A1" s="75" t="s">
        <v>7</v>
      </c>
      <c r="B1" s="76"/>
      <c r="C1" s="76"/>
      <c r="D1" s="76"/>
      <c r="E1" s="76"/>
      <c r="F1" s="76"/>
      <c r="G1" s="76"/>
      <c r="H1" s="76"/>
    </row>
    <row r="2" spans="1:8">
      <c r="A2" s="76"/>
      <c r="B2" s="76"/>
      <c r="C2" s="76"/>
      <c r="D2" s="76"/>
      <c r="E2" s="76"/>
      <c r="F2" s="76"/>
      <c r="G2" s="76"/>
      <c r="H2" s="76"/>
    </row>
    <row r="3" spans="1:8" ht="33" customHeight="1" thickBot="1">
      <c r="A3" s="77"/>
      <c r="B3" s="77"/>
      <c r="C3" s="77"/>
      <c r="D3" s="77"/>
      <c r="E3" s="77"/>
      <c r="F3" s="77"/>
      <c r="G3" s="77"/>
      <c r="H3" s="77"/>
    </row>
    <row r="10" spans="1:8">
      <c r="D10" t="s">
        <v>45</v>
      </c>
    </row>
    <row r="14" spans="1:8" ht="18.75">
      <c r="F14" s="12" t="s">
        <v>25</v>
      </c>
      <c r="G14" s="12" t="s">
        <v>39</v>
      </c>
      <c r="H14" s="13"/>
    </row>
    <row r="17" spans="1:6" ht="18.75">
      <c r="A17" s="14" t="s">
        <v>26</v>
      </c>
    </row>
    <row r="19" spans="1:6">
      <c r="A19" t="s">
        <v>27</v>
      </c>
    </row>
    <row r="20" spans="1:6">
      <c r="A20" t="s">
        <v>28</v>
      </c>
    </row>
    <row r="22" spans="1:6">
      <c r="A22" s="15" t="s">
        <v>29</v>
      </c>
      <c r="B22" s="15" t="s">
        <v>30</v>
      </c>
      <c r="C22" s="15" t="s">
        <v>40</v>
      </c>
      <c r="D22" s="15" t="s">
        <v>31</v>
      </c>
      <c r="E22" s="15" t="s">
        <v>32</v>
      </c>
      <c r="F22" s="15" t="s">
        <v>33</v>
      </c>
    </row>
    <row r="23" spans="1:6">
      <c r="B23" s="16">
        <v>45736</v>
      </c>
      <c r="C23" s="17" t="s">
        <v>41</v>
      </c>
      <c r="D23" s="16">
        <v>45736</v>
      </c>
      <c r="E23" s="18">
        <v>38070</v>
      </c>
      <c r="F23" s="18">
        <f>+E23</f>
        <v>38070</v>
      </c>
    </row>
    <row r="24" spans="1:6">
      <c r="B24" s="16">
        <v>45731</v>
      </c>
      <c r="C24" s="17" t="s">
        <v>41</v>
      </c>
      <c r="D24" s="16">
        <v>45731</v>
      </c>
      <c r="E24" s="18">
        <v>3000</v>
      </c>
      <c r="F24" s="18">
        <f t="shared" ref="F24:F27" si="0">+E24</f>
        <v>3000</v>
      </c>
    </row>
    <row r="25" spans="1:6">
      <c r="B25" s="16">
        <v>45703</v>
      </c>
      <c r="C25" s="17" t="s">
        <v>41</v>
      </c>
      <c r="D25" s="16">
        <v>45703</v>
      </c>
      <c r="E25" s="18">
        <v>25000</v>
      </c>
      <c r="F25" s="18">
        <f t="shared" si="0"/>
        <v>25000</v>
      </c>
    </row>
    <row r="26" spans="1:6">
      <c r="B26" s="16">
        <v>45734</v>
      </c>
      <c r="C26" s="17" t="s">
        <v>11</v>
      </c>
      <c r="D26" s="16">
        <v>45734</v>
      </c>
      <c r="E26" s="18">
        <v>8876</v>
      </c>
      <c r="F26" s="18">
        <f t="shared" si="0"/>
        <v>8876</v>
      </c>
    </row>
    <row r="27" spans="1:6">
      <c r="B27" s="16">
        <v>45845</v>
      </c>
      <c r="C27" s="17" t="s">
        <v>41</v>
      </c>
      <c r="D27" s="16">
        <v>45845</v>
      </c>
      <c r="E27" s="18">
        <v>7992</v>
      </c>
      <c r="F27" s="18">
        <f t="shared" si="0"/>
        <v>7992</v>
      </c>
    </row>
    <row r="28" spans="1:6">
      <c r="B28" s="16"/>
      <c r="C28" s="17"/>
      <c r="D28" s="16"/>
      <c r="E28" s="18"/>
      <c r="F28" s="18"/>
    </row>
    <row r="29" spans="1:6">
      <c r="B29" s="16"/>
      <c r="C29" s="17"/>
      <c r="D29" s="16"/>
      <c r="E29" s="18"/>
      <c r="F29" s="18"/>
    </row>
    <row r="32" spans="1:6">
      <c r="D32" s="78" t="s">
        <v>34</v>
      </c>
      <c r="E32" s="78"/>
      <c r="F32" s="19">
        <f>SUM(F23:F31)</f>
        <v>82938</v>
      </c>
    </row>
    <row r="35" spans="1:1">
      <c r="A35" t="s">
        <v>35</v>
      </c>
    </row>
    <row r="67" spans="1:9" ht="15.75">
      <c r="A67" s="13"/>
      <c r="B67" s="79" t="s">
        <v>36</v>
      </c>
      <c r="C67" s="79"/>
      <c r="D67" s="79"/>
      <c r="E67" s="79"/>
      <c r="F67" s="79"/>
      <c r="G67" s="79"/>
      <c r="H67" s="79"/>
      <c r="I67" s="79"/>
    </row>
    <row r="68" spans="1:9" ht="15.75">
      <c r="A68" s="13"/>
      <c r="B68" s="79" t="s">
        <v>37</v>
      </c>
      <c r="C68" s="79"/>
      <c r="D68" s="79"/>
      <c r="E68" s="79"/>
      <c r="F68" s="79"/>
      <c r="G68" s="79"/>
      <c r="H68" s="79"/>
      <c r="I68" s="79"/>
    </row>
    <row r="69" spans="1:9" ht="15.75">
      <c r="A69" s="13"/>
      <c r="B69" s="79" t="s">
        <v>38</v>
      </c>
      <c r="C69" s="79"/>
      <c r="D69" s="79"/>
      <c r="E69" s="79"/>
      <c r="F69" s="79"/>
      <c r="G69" s="79"/>
      <c r="H69" s="79"/>
      <c r="I69" s="79"/>
    </row>
  </sheetData>
  <mergeCells count="5">
    <mergeCell ref="A1:H3"/>
    <mergeCell ref="D32:E32"/>
    <mergeCell ref="B67:I67"/>
    <mergeCell ref="B68:I68"/>
    <mergeCell ref="B69:I69"/>
  </mergeCells>
  <pageMargins left="0.7" right="0.7" top="0.75" bottom="0.75" header="0.3" footer="0.3"/>
  <pageSetup paperSize="9" scale="71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D10" sqref="D10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1.5703125" bestFit="1" customWidth="1"/>
    <col min="5" max="5" width="14.2851562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4" t="s">
        <v>15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SUM(C10:C24)</f>
        <v>85438</v>
      </c>
      <c r="D7" s="9">
        <f>SUM(D10:D30)</f>
        <v>16500</v>
      </c>
      <c r="E7" s="10">
        <f>SUM(E10:E25)</f>
        <v>68938</v>
      </c>
    </row>
    <row r="9" spans="1:7" ht="15.7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7">
      <c r="A10" s="2" t="s">
        <v>5</v>
      </c>
      <c r="B10" s="2" t="s">
        <v>6</v>
      </c>
      <c r="C10" s="3">
        <f>'[1]DETAIL CA MOIS'!$C$13</f>
        <v>38070</v>
      </c>
      <c r="D10" s="3">
        <v>10000</v>
      </c>
      <c r="E10" s="3">
        <f>+C10-D10</f>
        <v>28070</v>
      </c>
      <c r="F10" t="s">
        <v>46</v>
      </c>
    </row>
    <row r="11" spans="1:7">
      <c r="A11" s="2" t="s">
        <v>9</v>
      </c>
      <c r="B11" s="2" t="s">
        <v>10</v>
      </c>
      <c r="C11" s="3">
        <v>3000</v>
      </c>
      <c r="D11" s="3">
        <v>3000</v>
      </c>
      <c r="E11" s="3">
        <f t="shared" ref="E11:E28" si="0">+C11-D11</f>
        <v>0</v>
      </c>
    </row>
    <row r="12" spans="1:7">
      <c r="A12" s="2" t="s">
        <v>11</v>
      </c>
      <c r="B12" s="2" t="s">
        <v>10</v>
      </c>
      <c r="C12" s="3">
        <v>8876</v>
      </c>
      <c r="D12" s="3"/>
      <c r="E12" s="3">
        <f t="shared" si="0"/>
        <v>8876</v>
      </c>
    </row>
    <row r="13" spans="1:7">
      <c r="A13" s="2" t="s">
        <v>12</v>
      </c>
      <c r="B13" s="2" t="s">
        <v>10</v>
      </c>
      <c r="C13" s="3">
        <v>2500</v>
      </c>
      <c r="D13" s="6">
        <v>2500</v>
      </c>
      <c r="E13" s="3">
        <f t="shared" si="0"/>
        <v>0</v>
      </c>
      <c r="F13" t="s">
        <v>44</v>
      </c>
    </row>
    <row r="14" spans="1:7">
      <c r="A14" s="2" t="s">
        <v>13</v>
      </c>
      <c r="B14" s="2" t="s">
        <v>14</v>
      </c>
      <c r="C14" s="6">
        <f>19000+2000+1200+300+2500</f>
        <v>25000</v>
      </c>
      <c r="D14" s="6">
        <v>1000</v>
      </c>
      <c r="E14" s="3">
        <f t="shared" si="0"/>
        <v>24000</v>
      </c>
    </row>
    <row r="15" spans="1:7">
      <c r="A15" s="2" t="s">
        <v>5</v>
      </c>
      <c r="B15" s="2" t="s">
        <v>14</v>
      </c>
      <c r="C15" s="20">
        <f>+'[2]DETAIL CA MOIS'!$C$15</f>
        <v>7992</v>
      </c>
      <c r="E15" s="3">
        <f t="shared" si="0"/>
        <v>7992</v>
      </c>
    </row>
    <row r="16" spans="1:7">
      <c r="E16" s="3">
        <f t="shared" si="0"/>
        <v>0</v>
      </c>
    </row>
    <row r="17" spans="5:5">
      <c r="E17" s="3">
        <f t="shared" si="0"/>
        <v>0</v>
      </c>
    </row>
    <row r="18" spans="5:5">
      <c r="E18" s="3">
        <f t="shared" si="0"/>
        <v>0</v>
      </c>
    </row>
    <row r="19" spans="5:5">
      <c r="E19" s="3">
        <f t="shared" si="0"/>
        <v>0</v>
      </c>
    </row>
    <row r="20" spans="5:5">
      <c r="E20" s="3">
        <f t="shared" si="0"/>
        <v>0</v>
      </c>
    </row>
    <row r="21" spans="5:5">
      <c r="E21" s="3">
        <f t="shared" si="0"/>
        <v>0</v>
      </c>
    </row>
    <row r="22" spans="5:5">
      <c r="E22" s="3">
        <f t="shared" si="0"/>
        <v>0</v>
      </c>
    </row>
    <row r="23" spans="5:5">
      <c r="E23" s="3">
        <f t="shared" si="0"/>
        <v>0</v>
      </c>
    </row>
    <row r="24" spans="5:5">
      <c r="E24" s="3">
        <f t="shared" si="0"/>
        <v>0</v>
      </c>
    </row>
    <row r="25" spans="5:5">
      <c r="E25" s="3">
        <f t="shared" si="0"/>
        <v>0</v>
      </c>
    </row>
    <row r="26" spans="5:5">
      <c r="E26" s="3">
        <f t="shared" si="0"/>
        <v>0</v>
      </c>
    </row>
    <row r="27" spans="5:5">
      <c r="E27" s="3">
        <f t="shared" si="0"/>
        <v>0</v>
      </c>
    </row>
    <row r="28" spans="5:5">
      <c r="E28" s="3">
        <f t="shared" si="0"/>
        <v>0</v>
      </c>
    </row>
  </sheetData>
  <mergeCells count="2">
    <mergeCell ref="A1:G3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25" sqref="A25"/>
    </sheetView>
  </sheetViews>
  <sheetFormatPr baseColWidth="10" defaultRowHeight="15"/>
  <cols>
    <col min="1" max="1" width="21" bestFit="1" customWidth="1"/>
    <col min="2" max="2" width="20" bestFit="1" customWidth="1"/>
    <col min="3" max="3" width="20.7109375" bestFit="1" customWidth="1"/>
    <col min="4" max="4" width="11.5703125" bestFit="1" customWidth="1"/>
    <col min="5" max="5" width="14.2851562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4" t="s">
        <v>23</v>
      </c>
      <c r="B5" s="4"/>
      <c r="C5" s="82" t="s">
        <v>8</v>
      </c>
      <c r="D5" s="82"/>
      <c r="E5" s="5"/>
    </row>
    <row r="7" spans="1:7" ht="23.25">
      <c r="A7" s="8" t="s">
        <v>24</v>
      </c>
      <c r="B7" s="7"/>
      <c r="C7" s="9">
        <f>SUM(C10:C24)</f>
        <v>29400</v>
      </c>
      <c r="D7" s="9">
        <f>SUM(D10:D30)</f>
        <v>12300</v>
      </c>
      <c r="E7" s="10">
        <f>SUM(E10:E25)</f>
        <v>17100</v>
      </c>
    </row>
    <row r="9" spans="1:7" ht="15.75">
      <c r="A9" s="21" t="s">
        <v>0</v>
      </c>
      <c r="B9" s="21" t="s">
        <v>1</v>
      </c>
      <c r="C9" s="21" t="s">
        <v>2</v>
      </c>
      <c r="D9" s="21" t="s">
        <v>3</v>
      </c>
      <c r="E9" s="21" t="s">
        <v>4</v>
      </c>
    </row>
    <row r="10" spans="1:7">
      <c r="A10" s="22" t="s">
        <v>16</v>
      </c>
      <c r="B10" s="22" t="s">
        <v>17</v>
      </c>
      <c r="C10" s="24">
        <v>5000</v>
      </c>
      <c r="D10" s="24"/>
      <c r="E10" s="24">
        <f>+C10-D10</f>
        <v>5000</v>
      </c>
    </row>
    <row r="11" spans="1:7">
      <c r="A11" s="22" t="s">
        <v>18</v>
      </c>
      <c r="B11" s="22" t="s">
        <v>17</v>
      </c>
      <c r="C11" s="24">
        <v>3000</v>
      </c>
      <c r="D11" s="24">
        <v>3000</v>
      </c>
      <c r="E11" s="24">
        <f t="shared" ref="E11:E17" si="0">+C11-D11</f>
        <v>0</v>
      </c>
    </row>
    <row r="12" spans="1:7">
      <c r="A12" s="22" t="s">
        <v>19</v>
      </c>
      <c r="B12" s="22" t="s">
        <v>17</v>
      </c>
      <c r="C12" s="24">
        <v>1300</v>
      </c>
      <c r="D12" s="24">
        <v>300</v>
      </c>
      <c r="E12" s="24">
        <f t="shared" si="0"/>
        <v>1000</v>
      </c>
    </row>
    <row r="13" spans="1:7">
      <c r="A13" s="22" t="s">
        <v>19</v>
      </c>
      <c r="B13" s="22" t="s">
        <v>17</v>
      </c>
      <c r="C13" s="23">
        <v>5600</v>
      </c>
      <c r="D13" s="23"/>
      <c r="E13" s="24">
        <f t="shared" si="0"/>
        <v>5600</v>
      </c>
    </row>
    <row r="14" spans="1:7">
      <c r="A14" s="22" t="s">
        <v>20</v>
      </c>
      <c r="B14" s="22" t="s">
        <v>17</v>
      </c>
      <c r="C14" s="24">
        <f>5000+3600</f>
        <v>8600</v>
      </c>
      <c r="D14" s="24">
        <v>4000</v>
      </c>
      <c r="E14" s="24">
        <f>+C14-D14</f>
        <v>4600</v>
      </c>
    </row>
    <row r="15" spans="1:7">
      <c r="A15" s="22" t="s">
        <v>21</v>
      </c>
      <c r="B15" s="22" t="s">
        <v>22</v>
      </c>
      <c r="C15" s="24">
        <v>2000</v>
      </c>
      <c r="D15" s="24">
        <v>2000</v>
      </c>
      <c r="E15" s="24">
        <f t="shared" si="0"/>
        <v>0</v>
      </c>
    </row>
    <row r="16" spans="1:7">
      <c r="A16" s="22" t="s">
        <v>17</v>
      </c>
      <c r="B16" s="22" t="s">
        <v>17</v>
      </c>
      <c r="C16" s="24">
        <v>800</v>
      </c>
      <c r="D16" s="26"/>
      <c r="E16" s="24">
        <f t="shared" si="0"/>
        <v>800</v>
      </c>
    </row>
    <row r="17" spans="1:5">
      <c r="A17" s="22" t="s">
        <v>42</v>
      </c>
      <c r="B17" s="22" t="s">
        <v>43</v>
      </c>
      <c r="C17" s="24">
        <v>3100</v>
      </c>
      <c r="D17" s="23">
        <v>3000</v>
      </c>
      <c r="E17" s="24">
        <f t="shared" si="0"/>
        <v>100</v>
      </c>
    </row>
    <row r="18" spans="1:5">
      <c r="A18" s="26"/>
      <c r="B18" s="26"/>
      <c r="C18" s="26"/>
      <c r="D18" s="26"/>
      <c r="E18" s="26"/>
    </row>
    <row r="19" spans="1:5">
      <c r="A19" s="26"/>
      <c r="B19" s="26"/>
      <c r="C19" s="26"/>
      <c r="D19" s="26"/>
      <c r="E19" s="26"/>
    </row>
    <row r="20" spans="1:5">
      <c r="A20" s="26"/>
      <c r="B20" s="26"/>
      <c r="C20" s="26"/>
      <c r="D20" s="26"/>
      <c r="E20" s="26"/>
    </row>
    <row r="21" spans="1:5">
      <c r="A21" s="26"/>
      <c r="B21" s="26"/>
      <c r="C21" s="26"/>
      <c r="D21" s="26"/>
      <c r="E21" s="26"/>
    </row>
    <row r="22" spans="1:5">
      <c r="A22" s="26"/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  <row r="26" spans="1:5">
      <c r="A26" s="26"/>
      <c r="B26" s="26"/>
      <c r="C26" s="26"/>
      <c r="D26" s="26"/>
      <c r="E26" s="26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</sheetData>
  <mergeCells count="2">
    <mergeCell ref="A1:G3"/>
    <mergeCell ref="C5:D5"/>
  </mergeCells>
  <pageMargins left="0.7" right="0.7" top="0.75" bottom="0.75" header="0.3" footer="0.3"/>
  <pageSetup paperSize="9" fitToWidth="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79"/>
  <sheetViews>
    <sheetView topLeftCell="A40" workbookViewId="0">
      <selection activeCell="A61" sqref="A61:C61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2.710937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34" t="s">
        <v>66</v>
      </c>
      <c r="B5" s="4"/>
      <c r="C5" s="83" t="s">
        <v>8</v>
      </c>
      <c r="D5" s="83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SUM(C10:C41)</f>
        <v>125784.68</v>
      </c>
      <c r="D7" s="9">
        <f>SUM(D10:D41)</f>
        <v>121344.68</v>
      </c>
      <c r="E7" s="10">
        <f>SUM(E10:E141)</f>
        <v>105485.64</v>
      </c>
    </row>
    <row r="9" spans="1:7" ht="15.75">
      <c r="A9" s="33" t="s">
        <v>0</v>
      </c>
      <c r="B9" s="33" t="s">
        <v>1</v>
      </c>
      <c r="C9" s="33" t="s">
        <v>2</v>
      </c>
      <c r="D9" s="33" t="s">
        <v>3</v>
      </c>
      <c r="E9" s="33" t="s">
        <v>4</v>
      </c>
      <c r="F9" s="33" t="s">
        <v>215</v>
      </c>
    </row>
    <row r="10" spans="1:7">
      <c r="A10" s="54" t="s">
        <v>47</v>
      </c>
      <c r="B10" s="54" t="s">
        <v>48</v>
      </c>
      <c r="C10" s="55">
        <v>2040</v>
      </c>
      <c r="D10" s="55">
        <v>2040</v>
      </c>
      <c r="E10" s="55">
        <f>+C10-D10</f>
        <v>0</v>
      </c>
      <c r="F10" s="56"/>
    </row>
    <row r="11" spans="1:7">
      <c r="A11" s="54" t="s">
        <v>47</v>
      </c>
      <c r="B11" s="54" t="s">
        <v>48</v>
      </c>
      <c r="C11" s="55">
        <f>5256</f>
        <v>5256</v>
      </c>
      <c r="D11" s="55">
        <v>5256</v>
      </c>
      <c r="E11" s="55">
        <f>+C11-D11</f>
        <v>0</v>
      </c>
      <c r="F11" s="56"/>
    </row>
    <row r="12" spans="1:7">
      <c r="A12" s="54" t="s">
        <v>49</v>
      </c>
      <c r="B12" s="54" t="s">
        <v>50</v>
      </c>
      <c r="C12" s="55">
        <v>6480</v>
      </c>
      <c r="D12" s="55">
        <v>6480</v>
      </c>
      <c r="E12" s="55">
        <f t="shared" ref="E12:E75" si="0">+C12-D12</f>
        <v>0</v>
      </c>
      <c r="F12" s="56"/>
    </row>
    <row r="13" spans="1:7">
      <c r="A13" s="54" t="s">
        <v>51</v>
      </c>
      <c r="B13" s="54" t="s">
        <v>52</v>
      </c>
      <c r="C13" s="55"/>
      <c r="D13" s="55"/>
      <c r="E13" s="55">
        <f t="shared" si="0"/>
        <v>0</v>
      </c>
      <c r="F13" s="56"/>
    </row>
    <row r="14" spans="1:7">
      <c r="A14" s="54" t="s">
        <v>51</v>
      </c>
      <c r="B14" s="54" t="s">
        <v>53</v>
      </c>
      <c r="C14" s="57">
        <v>300</v>
      </c>
      <c r="D14" s="55"/>
      <c r="E14" s="55">
        <f t="shared" si="0"/>
        <v>300</v>
      </c>
      <c r="F14" s="56"/>
    </row>
    <row r="15" spans="1:7">
      <c r="A15" s="54" t="s">
        <v>54</v>
      </c>
      <c r="B15" s="54" t="s">
        <v>55</v>
      </c>
      <c r="C15" s="57">
        <v>2892</v>
      </c>
      <c r="D15" s="55"/>
      <c r="E15" s="55">
        <f t="shared" si="0"/>
        <v>2892</v>
      </c>
      <c r="F15" s="56"/>
    </row>
    <row r="16" spans="1:7">
      <c r="A16" s="54" t="s">
        <v>56</v>
      </c>
      <c r="B16" s="54" t="s">
        <v>57</v>
      </c>
      <c r="C16" s="57">
        <v>720</v>
      </c>
      <c r="D16" s="55">
        <v>720</v>
      </c>
      <c r="E16" s="55">
        <f t="shared" si="0"/>
        <v>0</v>
      </c>
      <c r="F16" s="56"/>
    </row>
    <row r="17" spans="1:6">
      <c r="A17" s="54" t="s">
        <v>58</v>
      </c>
      <c r="B17" s="54" t="s">
        <v>59</v>
      </c>
      <c r="C17" s="57">
        <v>3012</v>
      </c>
      <c r="D17" s="55">
        <v>3012</v>
      </c>
      <c r="E17" s="55">
        <f t="shared" si="0"/>
        <v>0</v>
      </c>
      <c r="F17" s="56"/>
    </row>
    <row r="18" spans="1:6">
      <c r="A18" s="54" t="s">
        <v>60</v>
      </c>
      <c r="B18" s="54" t="s">
        <v>61</v>
      </c>
      <c r="C18" s="57">
        <v>1440</v>
      </c>
      <c r="D18" s="55">
        <v>1440</v>
      </c>
      <c r="E18" s="55">
        <f t="shared" si="0"/>
        <v>0</v>
      </c>
      <c r="F18" s="56"/>
    </row>
    <row r="19" spans="1:6">
      <c r="A19" s="54" t="s">
        <v>60</v>
      </c>
      <c r="B19" s="54" t="s">
        <v>62</v>
      </c>
      <c r="C19" s="57">
        <v>1440</v>
      </c>
      <c r="D19" s="55">
        <v>1440</v>
      </c>
      <c r="E19" s="55">
        <f t="shared" si="0"/>
        <v>0</v>
      </c>
      <c r="F19" s="56"/>
    </row>
    <row r="20" spans="1:6">
      <c r="A20" s="54" t="s">
        <v>51</v>
      </c>
      <c r="B20" s="54" t="s">
        <v>63</v>
      </c>
      <c r="C20" s="57">
        <v>5772</v>
      </c>
      <c r="D20" s="55">
        <v>5772</v>
      </c>
      <c r="E20" s="55">
        <f t="shared" si="0"/>
        <v>0</v>
      </c>
      <c r="F20" s="56"/>
    </row>
    <row r="21" spans="1:6">
      <c r="A21" s="54" t="s">
        <v>54</v>
      </c>
      <c r="B21" s="54" t="s">
        <v>55</v>
      </c>
      <c r="C21" s="57">
        <v>1248</v>
      </c>
      <c r="D21" s="55"/>
      <c r="E21" s="55">
        <f t="shared" si="0"/>
        <v>1248</v>
      </c>
      <c r="F21" s="56"/>
    </row>
    <row r="22" spans="1:6">
      <c r="A22" s="54" t="s">
        <v>51</v>
      </c>
      <c r="B22" s="54" t="s">
        <v>64</v>
      </c>
      <c r="C22" s="57">
        <v>2640</v>
      </c>
      <c r="D22" s="55">
        <v>2640</v>
      </c>
      <c r="E22" s="55">
        <f t="shared" si="0"/>
        <v>0</v>
      </c>
      <c r="F22" s="56"/>
    </row>
    <row r="23" spans="1:6">
      <c r="A23" s="54" t="s">
        <v>42</v>
      </c>
      <c r="B23" s="54" t="s">
        <v>65</v>
      </c>
      <c r="C23" s="55">
        <v>5820</v>
      </c>
      <c r="D23" s="55">
        <v>5820</v>
      </c>
      <c r="E23" s="55">
        <f t="shared" si="0"/>
        <v>0</v>
      </c>
      <c r="F23" s="56"/>
    </row>
    <row r="24" spans="1:6">
      <c r="A24" s="54" t="s">
        <v>67</v>
      </c>
      <c r="B24" s="54" t="s">
        <v>68</v>
      </c>
      <c r="C24" s="55">
        <v>3030</v>
      </c>
      <c r="D24" s="55">
        <v>3030</v>
      </c>
      <c r="E24" s="55">
        <f t="shared" si="0"/>
        <v>0</v>
      </c>
      <c r="F24" s="56"/>
    </row>
    <row r="25" spans="1:6">
      <c r="A25" s="54" t="s">
        <v>42</v>
      </c>
      <c r="B25" s="54" t="s">
        <v>72</v>
      </c>
      <c r="C25" s="55">
        <v>3715.2</v>
      </c>
      <c r="D25" s="55">
        <v>3715.2</v>
      </c>
      <c r="E25" s="55">
        <f t="shared" si="0"/>
        <v>0</v>
      </c>
      <c r="F25" s="56"/>
    </row>
    <row r="26" spans="1:6">
      <c r="A26" s="54" t="s">
        <v>58</v>
      </c>
      <c r="B26" s="54" t="s">
        <v>59</v>
      </c>
      <c r="C26" s="55">
        <v>1170</v>
      </c>
      <c r="D26" s="55">
        <v>1170</v>
      </c>
      <c r="E26" s="55">
        <f t="shared" si="0"/>
        <v>0</v>
      </c>
      <c r="F26" s="56"/>
    </row>
    <row r="27" spans="1:6">
      <c r="A27" s="54" t="s">
        <v>73</v>
      </c>
      <c r="B27" s="54" t="s">
        <v>74</v>
      </c>
      <c r="C27" s="55">
        <v>7212</v>
      </c>
      <c r="D27" s="55">
        <v>7212</v>
      </c>
      <c r="E27" s="55">
        <f t="shared" si="0"/>
        <v>0</v>
      </c>
      <c r="F27" s="56"/>
    </row>
    <row r="28" spans="1:6">
      <c r="A28" s="54" t="s">
        <v>84</v>
      </c>
      <c r="B28" s="54" t="s">
        <v>61</v>
      </c>
      <c r="C28" s="55">
        <v>5714</v>
      </c>
      <c r="D28" s="55">
        <v>5714</v>
      </c>
      <c r="E28" s="55">
        <f t="shared" si="0"/>
        <v>0</v>
      </c>
      <c r="F28" s="56"/>
    </row>
    <row r="29" spans="1:6">
      <c r="A29" s="54" t="s">
        <v>85</v>
      </c>
      <c r="B29" s="54" t="s">
        <v>86</v>
      </c>
      <c r="C29" s="55">
        <v>1800</v>
      </c>
      <c r="D29" s="55">
        <v>1800</v>
      </c>
      <c r="E29" s="55">
        <f t="shared" si="0"/>
        <v>0</v>
      </c>
      <c r="F29" s="56"/>
    </row>
    <row r="30" spans="1:6">
      <c r="A30" s="54" t="s">
        <v>89</v>
      </c>
      <c r="B30" s="54" t="s">
        <v>90</v>
      </c>
      <c r="C30" s="55">
        <v>5760.48</v>
      </c>
      <c r="D30" s="55">
        <v>5760.48</v>
      </c>
      <c r="E30" s="55">
        <f t="shared" si="0"/>
        <v>0</v>
      </c>
      <c r="F30" s="56"/>
    </row>
    <row r="31" spans="1:6">
      <c r="A31" s="54" t="s">
        <v>97</v>
      </c>
      <c r="B31" s="54" t="s">
        <v>86</v>
      </c>
      <c r="C31" s="55">
        <v>18884.099999999999</v>
      </c>
      <c r="D31" s="55">
        <v>18884.099999999999</v>
      </c>
      <c r="E31" s="55">
        <f t="shared" si="0"/>
        <v>0</v>
      </c>
      <c r="F31" s="56"/>
    </row>
    <row r="32" spans="1:6">
      <c r="A32" s="54" t="s">
        <v>100</v>
      </c>
      <c r="B32" s="54" t="s">
        <v>101</v>
      </c>
      <c r="C32" s="58">
        <f>+'[3]DETAIL CA MOIS'!$C$34</f>
        <v>1836</v>
      </c>
      <c r="D32" s="55">
        <v>1836</v>
      </c>
      <c r="E32" s="55">
        <f t="shared" si="0"/>
        <v>0</v>
      </c>
      <c r="F32" s="56"/>
    </row>
    <row r="33" spans="1:8">
      <c r="A33" s="54" t="s">
        <v>100</v>
      </c>
      <c r="B33" s="54" t="s">
        <v>102</v>
      </c>
      <c r="C33" s="55">
        <f>+'[3]DETAIL CA MOIS'!$C$36</f>
        <v>4242</v>
      </c>
      <c r="D33" s="55">
        <v>4242</v>
      </c>
      <c r="E33" s="55">
        <f t="shared" si="0"/>
        <v>0</v>
      </c>
      <c r="F33" s="56"/>
    </row>
    <row r="34" spans="1:8">
      <c r="A34" s="54" t="s">
        <v>105</v>
      </c>
      <c r="B34" s="54" t="s">
        <v>106</v>
      </c>
      <c r="C34" s="55">
        <v>5292</v>
      </c>
      <c r="D34" s="55">
        <v>5292</v>
      </c>
      <c r="E34" s="55">
        <f t="shared" si="0"/>
        <v>0</v>
      </c>
      <c r="F34" s="56"/>
    </row>
    <row r="35" spans="1:8">
      <c r="A35" s="54" t="s">
        <v>105</v>
      </c>
      <c r="B35" s="54" t="s">
        <v>52</v>
      </c>
      <c r="C35" s="55">
        <v>9240</v>
      </c>
      <c r="D35" s="55">
        <v>9240</v>
      </c>
      <c r="E35" s="55">
        <f t="shared" si="0"/>
        <v>0</v>
      </c>
      <c r="F35" s="56"/>
    </row>
    <row r="36" spans="1:8">
      <c r="A36" s="54" t="s">
        <v>85</v>
      </c>
      <c r="B36" s="54" t="s">
        <v>112</v>
      </c>
      <c r="C36" s="55">
        <v>5304.9</v>
      </c>
      <c r="D36" s="55">
        <v>5304.9</v>
      </c>
      <c r="E36" s="55">
        <f t="shared" si="0"/>
        <v>0</v>
      </c>
      <c r="F36" s="56"/>
    </row>
    <row r="37" spans="1:8">
      <c r="A37" s="54" t="s">
        <v>113</v>
      </c>
      <c r="B37" s="54" t="s">
        <v>114</v>
      </c>
      <c r="C37" s="55">
        <f>+'[4]DETAIL CA MOIS'!$C$35</f>
        <v>540</v>
      </c>
      <c r="D37" s="55">
        <v>540</v>
      </c>
      <c r="E37" s="55">
        <f t="shared" si="0"/>
        <v>0</v>
      </c>
      <c r="F37" s="56"/>
    </row>
    <row r="38" spans="1:8">
      <c r="A38" s="54" t="s">
        <v>113</v>
      </c>
      <c r="B38" s="54" t="s">
        <v>114</v>
      </c>
      <c r="C38" s="55">
        <v>3966</v>
      </c>
      <c r="D38" s="55">
        <v>3966</v>
      </c>
      <c r="E38" s="55">
        <f t="shared" si="0"/>
        <v>0</v>
      </c>
      <c r="F38" s="59"/>
    </row>
    <row r="39" spans="1:8">
      <c r="A39" s="54" t="s">
        <v>105</v>
      </c>
      <c r="B39" s="54" t="s">
        <v>53</v>
      </c>
      <c r="C39" s="55">
        <v>5316</v>
      </c>
      <c r="D39" s="55">
        <v>5316</v>
      </c>
      <c r="E39" s="55">
        <f t="shared" si="0"/>
        <v>0</v>
      </c>
      <c r="F39" s="59"/>
    </row>
    <row r="40" spans="1:8">
      <c r="A40" s="54" t="s">
        <v>121</v>
      </c>
      <c r="B40" s="54" t="s">
        <v>122</v>
      </c>
      <c r="C40" s="55">
        <v>1980</v>
      </c>
      <c r="D40" s="55">
        <v>1980</v>
      </c>
      <c r="E40" s="55">
        <f t="shared" si="0"/>
        <v>0</v>
      </c>
      <c r="F40" s="59"/>
    </row>
    <row r="41" spans="1:8">
      <c r="A41" s="59"/>
      <c r="B41" s="60" t="s">
        <v>118</v>
      </c>
      <c r="C41" s="55">
        <v>1722</v>
      </c>
      <c r="D41" s="55">
        <v>1722</v>
      </c>
      <c r="E41" s="55">
        <f t="shared" si="0"/>
        <v>0</v>
      </c>
      <c r="F41" s="59"/>
    </row>
    <row r="42" spans="1:8">
      <c r="A42" s="54" t="s">
        <v>105</v>
      </c>
      <c r="B42" s="54" t="s">
        <v>148</v>
      </c>
      <c r="C42" s="58">
        <f>+'[5]DETAIL CA MOIS'!$D$42</f>
        <v>4508.3999999999996</v>
      </c>
      <c r="D42" s="55">
        <v>4508.3999999999996</v>
      </c>
      <c r="E42" s="55">
        <f t="shared" si="0"/>
        <v>0</v>
      </c>
      <c r="F42" s="59"/>
    </row>
    <row r="43" spans="1:8">
      <c r="A43" s="54" t="s">
        <v>105</v>
      </c>
      <c r="B43" s="54" t="s">
        <v>153</v>
      </c>
      <c r="C43" s="57">
        <v>5348.4</v>
      </c>
      <c r="D43" s="57">
        <v>5348.4</v>
      </c>
      <c r="E43" s="55">
        <f t="shared" si="0"/>
        <v>0</v>
      </c>
      <c r="F43" s="59"/>
    </row>
    <row r="44" spans="1:8">
      <c r="A44" s="54" t="s">
        <v>154</v>
      </c>
      <c r="B44" s="54" t="s">
        <v>68</v>
      </c>
      <c r="C44" s="57">
        <v>4044</v>
      </c>
      <c r="D44" s="57">
        <v>4044</v>
      </c>
      <c r="E44" s="55">
        <f t="shared" si="0"/>
        <v>0</v>
      </c>
      <c r="F44" s="59"/>
    </row>
    <row r="45" spans="1:8">
      <c r="A45" s="54" t="s">
        <v>159</v>
      </c>
      <c r="B45" s="54" t="s">
        <v>160</v>
      </c>
      <c r="C45" s="55">
        <v>1428</v>
      </c>
      <c r="D45" s="57">
        <v>1428</v>
      </c>
      <c r="E45" s="55">
        <f t="shared" si="0"/>
        <v>0</v>
      </c>
      <c r="F45" s="59"/>
      <c r="H45" s="3"/>
    </row>
    <row r="46" spans="1:8">
      <c r="A46" s="54" t="s">
        <v>159</v>
      </c>
      <c r="B46" s="54" t="s">
        <v>160</v>
      </c>
      <c r="C46" s="55">
        <v>9126.84</v>
      </c>
      <c r="D46" s="59"/>
      <c r="E46" s="55">
        <f t="shared" si="0"/>
        <v>9126.84</v>
      </c>
      <c r="F46" s="59"/>
    </row>
    <row r="47" spans="1:8">
      <c r="A47" s="54" t="s">
        <v>165</v>
      </c>
      <c r="B47" s="54" t="s">
        <v>162</v>
      </c>
      <c r="C47" s="55">
        <v>2532</v>
      </c>
      <c r="D47" s="59"/>
      <c r="E47" s="55">
        <f t="shared" si="0"/>
        <v>2532</v>
      </c>
      <c r="F47" s="59"/>
    </row>
    <row r="48" spans="1:8">
      <c r="A48" s="54" t="s">
        <v>105</v>
      </c>
      <c r="B48" s="54" t="s">
        <v>163</v>
      </c>
      <c r="C48" s="55">
        <v>6920</v>
      </c>
      <c r="D48" s="59"/>
      <c r="E48" s="55"/>
      <c r="F48" s="59" t="s">
        <v>170</v>
      </c>
    </row>
    <row r="49" spans="1:6">
      <c r="A49" s="54" t="s">
        <v>161</v>
      </c>
      <c r="B49" s="54" t="s">
        <v>50</v>
      </c>
      <c r="C49" s="55">
        <v>3240.6</v>
      </c>
      <c r="D49" s="59"/>
      <c r="E49" s="55">
        <f t="shared" si="0"/>
        <v>3240.6</v>
      </c>
      <c r="F49" s="59"/>
    </row>
    <row r="50" spans="1:6">
      <c r="A50" s="54" t="s">
        <v>105</v>
      </c>
      <c r="B50" s="54" t="s">
        <v>164</v>
      </c>
      <c r="C50" s="55">
        <v>3222</v>
      </c>
      <c r="D50" s="59"/>
      <c r="E50" s="55">
        <f t="shared" si="0"/>
        <v>3222</v>
      </c>
      <c r="F50" s="59"/>
    </row>
    <row r="51" spans="1:6">
      <c r="A51" s="54" t="s">
        <v>105</v>
      </c>
      <c r="B51" s="54" t="s">
        <v>118</v>
      </c>
      <c r="C51" s="55">
        <v>9783</v>
      </c>
      <c r="D51" s="59"/>
      <c r="E51" s="55">
        <f t="shared" si="0"/>
        <v>9783</v>
      </c>
      <c r="F51" s="59"/>
    </row>
    <row r="52" spans="1:6">
      <c r="A52" s="54" t="s">
        <v>105</v>
      </c>
      <c r="B52" s="54" t="s">
        <v>118</v>
      </c>
      <c r="C52" s="55">
        <v>9966</v>
      </c>
      <c r="D52" s="59"/>
      <c r="E52" s="55">
        <f t="shared" si="0"/>
        <v>9966</v>
      </c>
      <c r="F52" s="59"/>
    </row>
    <row r="53" spans="1:6">
      <c r="A53" s="54" t="s">
        <v>100</v>
      </c>
      <c r="B53" s="54" t="s">
        <v>166</v>
      </c>
      <c r="C53" s="55">
        <v>4350</v>
      </c>
      <c r="D53" s="59"/>
      <c r="E53" s="55">
        <f t="shared" si="0"/>
        <v>4350</v>
      </c>
      <c r="F53" s="59"/>
    </row>
    <row r="54" spans="1:6">
      <c r="A54" s="54" t="s">
        <v>105</v>
      </c>
      <c r="B54" s="54" t="s">
        <v>173</v>
      </c>
      <c r="C54" s="55">
        <v>3216</v>
      </c>
      <c r="D54" s="59"/>
      <c r="E54" s="55">
        <f t="shared" si="0"/>
        <v>3216</v>
      </c>
      <c r="F54" s="59"/>
    </row>
    <row r="55" spans="1:6">
      <c r="A55" s="54" t="s">
        <v>197</v>
      </c>
      <c r="B55" s="54" t="s">
        <v>194</v>
      </c>
      <c r="C55" s="55">
        <v>8182.2</v>
      </c>
      <c r="D55" s="59"/>
      <c r="E55" s="55">
        <f t="shared" si="0"/>
        <v>8182.2</v>
      </c>
      <c r="F55" s="59"/>
    </row>
    <row r="56" spans="1:6">
      <c r="A56" s="54" t="s">
        <v>42</v>
      </c>
      <c r="B56" s="54" t="s">
        <v>207</v>
      </c>
      <c r="C56" s="55">
        <v>9877.2000000000007</v>
      </c>
      <c r="D56" s="59"/>
      <c r="E56" s="55">
        <f t="shared" si="0"/>
        <v>9877.2000000000007</v>
      </c>
      <c r="F56" s="59"/>
    </row>
    <row r="57" spans="1:6">
      <c r="A57" s="54" t="s">
        <v>42</v>
      </c>
      <c r="B57" s="54" t="s">
        <v>207</v>
      </c>
      <c r="C57" s="55">
        <v>9688.7999999999993</v>
      </c>
      <c r="D57" s="59"/>
      <c r="E57" s="55">
        <f t="shared" si="0"/>
        <v>9688.7999999999993</v>
      </c>
      <c r="F57" s="59"/>
    </row>
    <row r="58" spans="1:6">
      <c r="A58" s="54" t="s">
        <v>42</v>
      </c>
      <c r="B58" s="54" t="s">
        <v>208</v>
      </c>
      <c r="C58" s="55">
        <v>1200</v>
      </c>
      <c r="D58" s="59"/>
      <c r="E58" s="55">
        <f t="shared" si="0"/>
        <v>1200</v>
      </c>
      <c r="F58" s="59"/>
    </row>
    <row r="59" spans="1:6">
      <c r="A59" s="60" t="s">
        <v>213</v>
      </c>
      <c r="B59" s="60" t="s">
        <v>214</v>
      </c>
      <c r="C59" s="55">
        <v>900</v>
      </c>
      <c r="D59" s="59"/>
      <c r="E59" s="55">
        <f t="shared" si="0"/>
        <v>900</v>
      </c>
      <c r="F59" s="59">
        <v>89177</v>
      </c>
    </row>
    <row r="60" spans="1:6">
      <c r="A60" s="54" t="s">
        <v>56</v>
      </c>
      <c r="B60" s="54" t="s">
        <v>57</v>
      </c>
      <c r="C60" s="55">
        <v>6633</v>
      </c>
      <c r="D60" s="59"/>
      <c r="E60" s="55">
        <f t="shared" si="0"/>
        <v>6633</v>
      </c>
      <c r="F60" s="59">
        <v>42393</v>
      </c>
    </row>
    <row r="61" spans="1:6">
      <c r="A61" s="54" t="s">
        <v>218</v>
      </c>
      <c r="B61" s="54" t="s">
        <v>207</v>
      </c>
      <c r="C61" s="55">
        <v>7200</v>
      </c>
      <c r="D61" s="59"/>
      <c r="E61" s="55">
        <f t="shared" si="0"/>
        <v>7200</v>
      </c>
      <c r="F61" s="59">
        <v>166227</v>
      </c>
    </row>
    <row r="62" spans="1:6">
      <c r="A62" s="54" t="s">
        <v>219</v>
      </c>
      <c r="B62" s="54" t="s">
        <v>122</v>
      </c>
      <c r="C62" s="55">
        <v>1968</v>
      </c>
      <c r="D62" s="56"/>
      <c r="E62" s="55">
        <f t="shared" si="0"/>
        <v>1968</v>
      </c>
      <c r="F62" s="56">
        <v>14474</v>
      </c>
    </row>
    <row r="63" spans="1:6">
      <c r="A63" s="54" t="s">
        <v>105</v>
      </c>
      <c r="B63" s="54" t="s">
        <v>223</v>
      </c>
      <c r="C63" s="55">
        <v>9960</v>
      </c>
      <c r="D63" s="56"/>
      <c r="E63" s="55">
        <f t="shared" si="0"/>
        <v>9960</v>
      </c>
      <c r="F63" s="56">
        <v>186732</v>
      </c>
    </row>
    <row r="64" spans="1:6">
      <c r="A64" s="56"/>
      <c r="B64" s="56"/>
      <c r="C64" s="56"/>
      <c r="D64" s="56"/>
      <c r="E64" s="55">
        <f t="shared" si="0"/>
        <v>0</v>
      </c>
      <c r="F64" s="56"/>
    </row>
    <row r="65" spans="1:6">
      <c r="A65" s="56"/>
      <c r="B65" s="56"/>
      <c r="C65" s="56"/>
      <c r="D65" s="56"/>
      <c r="E65" s="55">
        <f t="shared" si="0"/>
        <v>0</v>
      </c>
      <c r="F65" s="56"/>
    </row>
    <row r="66" spans="1:6">
      <c r="A66" s="56"/>
      <c r="B66" s="56"/>
      <c r="C66" s="56"/>
      <c r="D66" s="56"/>
      <c r="E66" s="55">
        <f t="shared" si="0"/>
        <v>0</v>
      </c>
      <c r="F66" s="56"/>
    </row>
    <row r="67" spans="1:6">
      <c r="A67" s="56"/>
      <c r="B67" s="56"/>
      <c r="C67" s="56"/>
      <c r="D67" s="56"/>
      <c r="E67" s="55">
        <f t="shared" si="0"/>
        <v>0</v>
      </c>
      <c r="F67" s="56"/>
    </row>
    <row r="68" spans="1:6">
      <c r="A68" s="56"/>
      <c r="B68" s="56"/>
      <c r="C68" s="56"/>
      <c r="D68" s="56"/>
      <c r="E68" s="55">
        <f t="shared" si="0"/>
        <v>0</v>
      </c>
      <c r="F68" s="56"/>
    </row>
    <row r="69" spans="1:6">
      <c r="A69" s="56"/>
      <c r="B69" s="56"/>
      <c r="C69" s="56"/>
      <c r="D69" s="56"/>
      <c r="E69" s="55">
        <f t="shared" si="0"/>
        <v>0</v>
      </c>
      <c r="F69" s="56"/>
    </row>
    <row r="70" spans="1:6">
      <c r="A70" s="56"/>
      <c r="B70" s="56"/>
      <c r="C70" s="56"/>
      <c r="D70" s="56"/>
      <c r="E70" s="55">
        <f t="shared" si="0"/>
        <v>0</v>
      </c>
      <c r="F70" s="56"/>
    </row>
    <row r="71" spans="1:6">
      <c r="A71" s="56"/>
      <c r="B71" s="56"/>
      <c r="C71" s="56"/>
      <c r="D71" s="56"/>
      <c r="E71" s="55">
        <f t="shared" si="0"/>
        <v>0</v>
      </c>
      <c r="F71" s="56"/>
    </row>
    <row r="72" spans="1:6">
      <c r="A72" s="56"/>
      <c r="B72" s="56"/>
      <c r="C72" s="56"/>
      <c r="D72" s="56"/>
      <c r="E72" s="55">
        <f t="shared" si="0"/>
        <v>0</v>
      </c>
      <c r="F72" s="56"/>
    </row>
    <row r="73" spans="1:6">
      <c r="A73" s="56"/>
      <c r="B73" s="56"/>
      <c r="C73" s="56"/>
      <c r="D73" s="56"/>
      <c r="E73" s="55">
        <f t="shared" si="0"/>
        <v>0</v>
      </c>
      <c r="F73" s="56"/>
    </row>
    <row r="74" spans="1:6">
      <c r="A74" s="56"/>
      <c r="B74" s="56"/>
      <c r="C74" s="56"/>
      <c r="D74" s="56"/>
      <c r="E74" s="55">
        <f t="shared" si="0"/>
        <v>0</v>
      </c>
      <c r="F74" s="56"/>
    </row>
    <row r="75" spans="1:6">
      <c r="A75" s="56"/>
      <c r="B75" s="56"/>
      <c r="C75" s="56"/>
      <c r="D75" s="56"/>
      <c r="E75" s="55">
        <f t="shared" si="0"/>
        <v>0</v>
      </c>
      <c r="F75" s="56"/>
    </row>
    <row r="76" spans="1:6">
      <c r="A76" s="56"/>
      <c r="B76" s="56"/>
      <c r="C76" s="56"/>
      <c r="D76" s="56"/>
      <c r="E76" s="55">
        <f t="shared" ref="E76:E78" si="1">+C76-D76</f>
        <v>0</v>
      </c>
      <c r="F76" s="56"/>
    </row>
    <row r="77" spans="1:6">
      <c r="A77" s="56"/>
      <c r="B77" s="56"/>
      <c r="C77" s="56"/>
      <c r="D77" s="56"/>
      <c r="E77" s="55">
        <f t="shared" si="1"/>
        <v>0</v>
      </c>
      <c r="F77" s="56"/>
    </row>
    <row r="78" spans="1:6">
      <c r="A78" s="56"/>
      <c r="B78" s="56"/>
      <c r="C78" s="56"/>
      <c r="D78" s="56"/>
      <c r="E78" s="55">
        <f t="shared" si="1"/>
        <v>0</v>
      </c>
      <c r="F78" s="56"/>
    </row>
    <row r="79" spans="1:6">
      <c r="A79" s="56"/>
      <c r="B79" s="56"/>
      <c r="C79" s="56"/>
      <c r="D79" s="56"/>
      <c r="E79" s="56"/>
      <c r="F79" s="56"/>
    </row>
  </sheetData>
  <mergeCells count="2">
    <mergeCell ref="A1:G3"/>
    <mergeCell ref="C5:D5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32"/>
  <sheetViews>
    <sheetView workbookViewId="0">
      <selection activeCell="D29" sqref="D29"/>
    </sheetView>
  </sheetViews>
  <sheetFormatPr baseColWidth="10" defaultRowHeight="15"/>
  <cols>
    <col min="2" max="2" width="22.140625" customWidth="1"/>
    <col min="3" max="3" width="21.85546875" customWidth="1"/>
    <col min="4" max="4" width="16.85546875" customWidth="1"/>
    <col min="5" max="5" width="11.5703125" customWidth="1"/>
    <col min="6" max="6" width="15.7109375" bestFit="1" customWidth="1"/>
  </cols>
  <sheetData>
    <row r="1" spans="1:8">
      <c r="B1" s="80" t="s">
        <v>7</v>
      </c>
      <c r="C1" s="80"/>
      <c r="D1" s="80"/>
      <c r="E1" s="80"/>
      <c r="F1" s="80"/>
      <c r="G1" s="80"/>
      <c r="H1" s="80"/>
    </row>
    <row r="2" spans="1:8">
      <c r="B2" s="80"/>
      <c r="C2" s="80"/>
      <c r="D2" s="80"/>
      <c r="E2" s="80"/>
      <c r="F2" s="80"/>
      <c r="G2" s="80"/>
      <c r="H2" s="80"/>
    </row>
    <row r="3" spans="1:8" ht="15.75" thickBot="1">
      <c r="B3" s="81"/>
      <c r="C3" s="81"/>
      <c r="D3" s="81"/>
      <c r="E3" s="81"/>
      <c r="F3" s="81"/>
      <c r="G3" s="81"/>
      <c r="H3" s="81"/>
    </row>
    <row r="5" spans="1:8" ht="15.75">
      <c r="B5" s="11" t="s">
        <v>66</v>
      </c>
      <c r="C5" s="4"/>
      <c r="D5" s="82" t="s">
        <v>8</v>
      </c>
      <c r="E5" s="82"/>
      <c r="F5" s="5"/>
    </row>
    <row r="6" spans="1:8" ht="15.75">
      <c r="B6" s="4"/>
      <c r="C6" s="4"/>
      <c r="D6" s="4"/>
      <c r="E6" s="4"/>
      <c r="F6" s="5"/>
    </row>
    <row r="7" spans="1:8" ht="18">
      <c r="B7" s="8" t="s">
        <v>24</v>
      </c>
      <c r="C7" s="7"/>
      <c r="D7" s="9">
        <f>SUM(D10:D27)</f>
        <v>88325.64</v>
      </c>
      <c r="E7" s="9">
        <f>SUM(E10:E27)</f>
        <v>0</v>
      </c>
      <c r="F7" s="9">
        <f>SUM(F10:F27)</f>
        <v>88325.64</v>
      </c>
    </row>
    <row r="9" spans="1:8" ht="15.75">
      <c r="A9" s="48" t="s">
        <v>157</v>
      </c>
      <c r="B9" s="48" t="s">
        <v>0</v>
      </c>
      <c r="C9" s="48" t="s">
        <v>1</v>
      </c>
      <c r="D9" s="48" t="s">
        <v>2</v>
      </c>
      <c r="E9" s="48" t="s">
        <v>3</v>
      </c>
      <c r="F9" s="48" t="s">
        <v>4</v>
      </c>
    </row>
    <row r="10" spans="1:8">
      <c r="A10" s="43" t="s">
        <v>158</v>
      </c>
      <c r="B10" s="43" t="s">
        <v>51</v>
      </c>
      <c r="C10" s="43" t="s">
        <v>53</v>
      </c>
      <c r="D10" s="46">
        <v>300</v>
      </c>
      <c r="E10" s="35"/>
      <c r="F10" s="35">
        <f t="shared" ref="F10:F22" si="0">+D10-E10</f>
        <v>300</v>
      </c>
    </row>
    <row r="11" spans="1:8">
      <c r="A11" s="43" t="s">
        <v>167</v>
      </c>
      <c r="B11" s="43" t="s">
        <v>54</v>
      </c>
      <c r="C11" s="43" t="s">
        <v>55</v>
      </c>
      <c r="D11" s="49">
        <v>2892</v>
      </c>
      <c r="E11" s="35"/>
      <c r="F11" s="35">
        <f t="shared" si="0"/>
        <v>2892</v>
      </c>
    </row>
    <row r="12" spans="1:8">
      <c r="A12" s="43">
        <v>2025100</v>
      </c>
      <c r="B12" s="43" t="s">
        <v>54</v>
      </c>
      <c r="C12" s="43" t="s">
        <v>55</v>
      </c>
      <c r="D12" s="50">
        <v>1248</v>
      </c>
      <c r="E12" s="35"/>
      <c r="F12" s="35">
        <f t="shared" si="0"/>
        <v>1248</v>
      </c>
    </row>
    <row r="13" spans="1:8">
      <c r="A13" s="43">
        <v>2026039</v>
      </c>
      <c r="B13" s="43" t="s">
        <v>159</v>
      </c>
      <c r="C13" s="43" t="s">
        <v>160</v>
      </c>
      <c r="D13" s="35">
        <v>9126.84</v>
      </c>
      <c r="E13" s="37"/>
      <c r="F13" s="35">
        <f t="shared" si="0"/>
        <v>9126.84</v>
      </c>
    </row>
    <row r="14" spans="1:8">
      <c r="A14" s="43">
        <v>2026041</v>
      </c>
      <c r="B14" s="43" t="s">
        <v>195</v>
      </c>
      <c r="C14" s="43" t="s">
        <v>162</v>
      </c>
      <c r="D14" s="35">
        <v>2532</v>
      </c>
      <c r="E14" s="37"/>
      <c r="F14" s="35">
        <f t="shared" si="0"/>
        <v>2532</v>
      </c>
    </row>
    <row r="15" spans="1:8">
      <c r="A15" s="43">
        <v>2026043</v>
      </c>
      <c r="B15" s="43" t="s">
        <v>196</v>
      </c>
      <c r="C15" s="43" t="s">
        <v>50</v>
      </c>
      <c r="D15" s="35">
        <v>3240.6</v>
      </c>
      <c r="E15" s="37"/>
      <c r="F15" s="35">
        <f t="shared" si="0"/>
        <v>3240.6</v>
      </c>
    </row>
    <row r="16" spans="1:8">
      <c r="A16" s="43">
        <v>2026044</v>
      </c>
      <c r="B16" s="43" t="s">
        <v>105</v>
      </c>
      <c r="C16" s="43" t="s">
        <v>164</v>
      </c>
      <c r="D16" s="35">
        <v>3222</v>
      </c>
      <c r="E16" s="37"/>
      <c r="F16" s="35">
        <f t="shared" si="0"/>
        <v>3222</v>
      </c>
    </row>
    <row r="17" spans="1:6">
      <c r="A17" s="43">
        <v>2026048</v>
      </c>
      <c r="B17" s="43" t="s">
        <v>100</v>
      </c>
      <c r="C17" s="43" t="s">
        <v>166</v>
      </c>
      <c r="D17" s="35">
        <v>4350</v>
      </c>
      <c r="E17" s="37"/>
      <c r="F17" s="35">
        <f t="shared" si="0"/>
        <v>4350</v>
      </c>
    </row>
    <row r="18" spans="1:6">
      <c r="A18" s="43">
        <v>2026046</v>
      </c>
      <c r="B18" s="43" t="s">
        <v>105</v>
      </c>
      <c r="C18" s="43" t="s">
        <v>118</v>
      </c>
      <c r="D18" s="35">
        <v>9783</v>
      </c>
      <c r="E18" s="37"/>
      <c r="F18" s="35">
        <f t="shared" si="0"/>
        <v>9783</v>
      </c>
    </row>
    <row r="19" spans="1:6">
      <c r="A19" s="43">
        <v>2026047</v>
      </c>
      <c r="B19" s="43" t="s">
        <v>105</v>
      </c>
      <c r="C19" s="43" t="s">
        <v>118</v>
      </c>
      <c r="D19" s="35">
        <v>9966</v>
      </c>
      <c r="E19" s="37"/>
      <c r="F19" s="35">
        <f t="shared" si="0"/>
        <v>9966</v>
      </c>
    </row>
    <row r="20" spans="1:6">
      <c r="A20" s="43">
        <v>2026052</v>
      </c>
      <c r="B20" s="43" t="s">
        <v>105</v>
      </c>
      <c r="C20" s="43" t="s">
        <v>173</v>
      </c>
      <c r="D20" s="35">
        <v>3216</v>
      </c>
      <c r="E20" s="37"/>
      <c r="F20" s="35">
        <f t="shared" si="0"/>
        <v>3216</v>
      </c>
    </row>
    <row r="21" spans="1:6">
      <c r="A21" s="43">
        <v>2026083</v>
      </c>
      <c r="B21" s="43" t="s">
        <v>100</v>
      </c>
      <c r="C21" s="43" t="s">
        <v>194</v>
      </c>
      <c r="D21" s="35">
        <v>8182.2</v>
      </c>
      <c r="E21" s="37"/>
      <c r="F21" s="35">
        <f t="shared" si="0"/>
        <v>8182.2</v>
      </c>
    </row>
    <row r="22" spans="1:6">
      <c r="A22" s="43">
        <v>2026087</v>
      </c>
      <c r="B22" s="43" t="s">
        <v>105</v>
      </c>
      <c r="C22" s="43" t="s">
        <v>207</v>
      </c>
      <c r="D22" s="35">
        <v>9877.2000000000007</v>
      </c>
      <c r="E22" s="37"/>
      <c r="F22" s="35">
        <f t="shared" si="0"/>
        <v>9877.2000000000007</v>
      </c>
    </row>
    <row r="23" spans="1:6">
      <c r="A23" s="43">
        <v>2026088</v>
      </c>
      <c r="B23" s="43" t="s">
        <v>105</v>
      </c>
      <c r="C23" s="43" t="s">
        <v>207</v>
      </c>
      <c r="D23" s="35">
        <v>9688.7999999999993</v>
      </c>
      <c r="E23" s="37"/>
      <c r="F23" s="35">
        <f>+D23-E23</f>
        <v>9688.7999999999993</v>
      </c>
    </row>
    <row r="24" spans="1:6">
      <c r="A24" s="43">
        <v>2026090</v>
      </c>
      <c r="B24" s="43" t="s">
        <v>105</v>
      </c>
      <c r="C24" s="43" t="s">
        <v>208</v>
      </c>
      <c r="D24" s="35">
        <v>1200</v>
      </c>
      <c r="E24" s="37"/>
      <c r="F24" s="35">
        <f>+D24-E24</f>
        <v>1200</v>
      </c>
    </row>
    <row r="25" spans="1:6">
      <c r="A25" s="43">
        <v>2026096</v>
      </c>
      <c r="B25" s="43" t="s">
        <v>56</v>
      </c>
      <c r="C25" s="51" t="s">
        <v>57</v>
      </c>
      <c r="D25" s="35">
        <v>6633</v>
      </c>
      <c r="E25" s="37"/>
      <c r="F25" s="35">
        <f t="shared" ref="F25:F29" si="1">+D25-E25</f>
        <v>6633</v>
      </c>
    </row>
    <row r="26" spans="1:6">
      <c r="A26" s="43">
        <v>2026093</v>
      </c>
      <c r="B26" s="47" t="s">
        <v>213</v>
      </c>
      <c r="C26" s="47" t="s">
        <v>214</v>
      </c>
      <c r="D26" s="35">
        <v>900</v>
      </c>
      <c r="E26" s="37"/>
      <c r="F26" s="35">
        <f t="shared" si="1"/>
        <v>900</v>
      </c>
    </row>
    <row r="27" spans="1:6">
      <c r="A27" s="43">
        <v>2026098</v>
      </c>
      <c r="B27" s="43" t="s">
        <v>219</v>
      </c>
      <c r="C27" s="43" t="s">
        <v>122</v>
      </c>
      <c r="D27" s="36">
        <v>1968</v>
      </c>
      <c r="E27" s="37"/>
      <c r="F27" s="35">
        <f t="shared" si="1"/>
        <v>1968</v>
      </c>
    </row>
    <row r="28" spans="1:6">
      <c r="A28" s="43">
        <v>2026094</v>
      </c>
      <c r="B28" s="68" t="s">
        <v>105</v>
      </c>
      <c r="C28" s="68" t="s">
        <v>223</v>
      </c>
      <c r="D28" s="36">
        <v>9960</v>
      </c>
      <c r="E28" s="37"/>
      <c r="F28" s="35">
        <f t="shared" si="1"/>
        <v>9960</v>
      </c>
    </row>
    <row r="29" spans="1:6">
      <c r="A29" s="43">
        <v>2026097</v>
      </c>
      <c r="B29" s="68" t="s">
        <v>218</v>
      </c>
      <c r="C29" s="68" t="s">
        <v>207</v>
      </c>
      <c r="D29" s="36">
        <v>7200</v>
      </c>
      <c r="E29" s="37"/>
      <c r="F29" s="35">
        <f t="shared" si="1"/>
        <v>7200</v>
      </c>
    </row>
    <row r="30" spans="1:6">
      <c r="A30" s="43"/>
      <c r="B30" s="68"/>
      <c r="C30" s="68"/>
      <c r="D30" s="36"/>
      <c r="E30" s="37"/>
      <c r="F30" s="35"/>
    </row>
    <row r="31" spans="1:6" ht="18.75">
      <c r="A31" s="22"/>
      <c r="B31" s="26"/>
      <c r="C31" s="52" t="s">
        <v>24</v>
      </c>
      <c r="D31" s="53">
        <f>SUM(D10:D30)</f>
        <v>105485.64</v>
      </c>
      <c r="E31" s="53">
        <f>SUM(E10:E12)</f>
        <v>0</v>
      </c>
      <c r="F31" s="53">
        <f>SUM(F10:F29)</f>
        <v>105485.64</v>
      </c>
    </row>
    <row r="32" spans="1:6">
      <c r="D32" s="20"/>
    </row>
  </sheetData>
  <mergeCells count="2">
    <mergeCell ref="B1:H3"/>
    <mergeCell ref="D5:E5"/>
  </mergeCells>
  <pageMargins left="0.7" right="0.7" top="0.75" bottom="0.75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G37"/>
  <sheetViews>
    <sheetView topLeftCell="A7" workbookViewId="0">
      <selection activeCell="I41" sqref="I41"/>
    </sheetView>
  </sheetViews>
  <sheetFormatPr baseColWidth="10" defaultRowHeight="15"/>
  <cols>
    <col min="1" max="1" width="24.85546875" bestFit="1" customWidth="1"/>
    <col min="2" max="2" width="25.7109375" customWidth="1"/>
    <col min="3" max="3" width="20.7109375" bestFit="1" customWidth="1"/>
    <col min="4" max="4" width="11.570312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115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SUM(C10:C24)</f>
        <v>34642</v>
      </c>
      <c r="D7" s="9">
        <f>SUM(D10:D30)</f>
        <v>0</v>
      </c>
      <c r="E7" s="10">
        <f>SUM(E10:E25)</f>
        <v>34642</v>
      </c>
    </row>
    <row r="9" spans="1:7" ht="15.75">
      <c r="A9" s="39" t="s">
        <v>0</v>
      </c>
      <c r="B9" s="39" t="s">
        <v>1</v>
      </c>
      <c r="C9" s="39" t="s">
        <v>2</v>
      </c>
      <c r="D9" s="39" t="s">
        <v>3</v>
      </c>
      <c r="E9" s="39" t="s">
        <v>4</v>
      </c>
    </row>
    <row r="10" spans="1:7">
      <c r="A10" s="22" t="s">
        <v>116</v>
      </c>
      <c r="B10" s="22" t="s">
        <v>117</v>
      </c>
      <c r="C10" s="23">
        <v>4910</v>
      </c>
      <c r="D10" s="24"/>
      <c r="E10" s="35">
        <f>+C10-D10</f>
        <v>4910</v>
      </c>
    </row>
    <row r="11" spans="1:7">
      <c r="A11" s="22" t="s">
        <v>127</v>
      </c>
      <c r="B11" s="22" t="s">
        <v>128</v>
      </c>
      <c r="C11" s="24">
        <v>8094</v>
      </c>
      <c r="D11" s="24"/>
      <c r="E11" s="35">
        <f t="shared" ref="E11:E23" si="0">+C11-D11</f>
        <v>8094</v>
      </c>
    </row>
    <row r="12" spans="1:7">
      <c r="A12" s="22" t="s">
        <v>127</v>
      </c>
      <c r="B12" s="22" t="str">
        <f>+'[5]DETAIL CA MOIS'!$C$52</f>
        <v>M154916</v>
      </c>
      <c r="C12" s="24">
        <v>3494</v>
      </c>
      <c r="D12" s="24"/>
      <c r="E12" s="35">
        <f t="shared" si="0"/>
        <v>3494</v>
      </c>
    </row>
    <row r="13" spans="1:7">
      <c r="A13" s="22" t="s">
        <v>116</v>
      </c>
      <c r="B13" s="22" t="s">
        <v>117</v>
      </c>
      <c r="C13" s="24">
        <v>3915</v>
      </c>
      <c r="D13" s="23"/>
      <c r="E13" s="35">
        <f t="shared" si="0"/>
        <v>3915</v>
      </c>
    </row>
    <row r="14" spans="1:7">
      <c r="A14" s="22" t="s">
        <v>198</v>
      </c>
      <c r="B14" s="22" t="s">
        <v>199</v>
      </c>
      <c r="C14" s="23">
        <v>6068</v>
      </c>
      <c r="D14" s="23"/>
      <c r="E14" s="35">
        <f t="shared" si="0"/>
        <v>6068</v>
      </c>
    </row>
    <row r="15" spans="1:7">
      <c r="A15" s="22" t="s">
        <v>116</v>
      </c>
      <c r="B15" s="22" t="s">
        <v>209</v>
      </c>
      <c r="C15" s="23">
        <v>3836</v>
      </c>
      <c r="D15" s="26"/>
      <c r="E15" s="35">
        <f t="shared" si="0"/>
        <v>3836</v>
      </c>
    </row>
    <row r="16" spans="1:7">
      <c r="A16" s="61" t="s">
        <v>224</v>
      </c>
      <c r="B16" s="61" t="s">
        <v>225</v>
      </c>
      <c r="C16" s="23">
        <v>4325</v>
      </c>
      <c r="D16" s="26"/>
      <c r="E16" s="35">
        <f t="shared" si="0"/>
        <v>4325</v>
      </c>
    </row>
    <row r="17" spans="1:5">
      <c r="A17" s="22"/>
      <c r="B17" s="22"/>
      <c r="C17" s="38"/>
      <c r="D17" s="26"/>
      <c r="E17" s="35">
        <f t="shared" si="0"/>
        <v>0</v>
      </c>
    </row>
    <row r="18" spans="1:5">
      <c r="A18" s="22"/>
      <c r="B18" s="22"/>
      <c r="C18" s="23"/>
      <c r="D18" s="26"/>
      <c r="E18" s="35">
        <f t="shared" si="0"/>
        <v>0</v>
      </c>
    </row>
    <row r="19" spans="1:5">
      <c r="A19" s="22"/>
      <c r="B19" s="22"/>
      <c r="C19" s="23"/>
      <c r="D19" s="26"/>
      <c r="E19" s="35">
        <f t="shared" si="0"/>
        <v>0</v>
      </c>
    </row>
    <row r="20" spans="1:5">
      <c r="A20" s="22"/>
      <c r="B20" s="22"/>
      <c r="C20" s="23"/>
      <c r="D20" s="26"/>
      <c r="E20" s="35">
        <f t="shared" si="0"/>
        <v>0</v>
      </c>
    </row>
    <row r="21" spans="1:5">
      <c r="A21" s="22"/>
      <c r="B21" s="22"/>
      <c r="C21" s="23"/>
      <c r="D21" s="26"/>
      <c r="E21" s="35">
        <f t="shared" si="0"/>
        <v>0</v>
      </c>
    </row>
    <row r="22" spans="1:5">
      <c r="A22" s="22"/>
      <c r="B22" s="22"/>
      <c r="C22" s="24"/>
      <c r="D22" s="26"/>
      <c r="E22" s="35">
        <f t="shared" si="0"/>
        <v>0</v>
      </c>
    </row>
    <row r="23" spans="1:5">
      <c r="A23" s="22"/>
      <c r="B23" s="22"/>
      <c r="C23" s="24"/>
      <c r="D23" s="26"/>
      <c r="E23" s="35">
        <f t="shared" si="0"/>
        <v>0</v>
      </c>
    </row>
    <row r="24" spans="1:5">
      <c r="A24" s="26"/>
      <c r="B24" s="26"/>
      <c r="C24" s="26"/>
      <c r="D24" s="26"/>
      <c r="E24" s="37"/>
    </row>
    <row r="25" spans="1:5">
      <c r="A25" s="26"/>
      <c r="B25" s="26"/>
      <c r="C25" s="26"/>
      <c r="D25" s="26"/>
      <c r="E25" s="37"/>
    </row>
    <row r="26" spans="1:5">
      <c r="A26" s="26"/>
      <c r="B26" s="26"/>
      <c r="C26" s="26"/>
      <c r="D26" s="26"/>
      <c r="E26" s="37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  <row r="29" spans="1:5">
      <c r="A29" s="26"/>
      <c r="B29" s="26"/>
      <c r="C29" s="26"/>
      <c r="D29" s="26"/>
      <c r="E29" s="26"/>
    </row>
    <row r="30" spans="1:5">
      <c r="A30" s="26"/>
      <c r="B30" s="26"/>
      <c r="C30" s="26"/>
      <c r="D30" s="26"/>
      <c r="E30" s="26"/>
    </row>
    <row r="31" spans="1:5">
      <c r="A31" s="26"/>
      <c r="B31" s="26"/>
      <c r="C31" s="26"/>
      <c r="D31" s="26"/>
      <c r="E31" s="26"/>
    </row>
    <row r="32" spans="1:5">
      <c r="A32" s="26"/>
      <c r="B32" s="26"/>
      <c r="C32" s="26"/>
      <c r="D32" s="26"/>
      <c r="E32" s="26"/>
    </row>
    <row r="33" spans="1:5">
      <c r="A33" s="26"/>
      <c r="B33" s="26"/>
      <c r="C33" s="26"/>
      <c r="D33" s="26"/>
      <c r="E33" s="26"/>
    </row>
    <row r="34" spans="1:5">
      <c r="A34" s="26"/>
      <c r="B34" s="26"/>
      <c r="C34" s="26"/>
      <c r="D34" s="26"/>
      <c r="E34" s="26"/>
    </row>
    <row r="35" spans="1:5">
      <c r="A35" s="26"/>
      <c r="B35" s="26"/>
      <c r="C35" s="26"/>
      <c r="D35" s="26"/>
      <c r="E35" s="26"/>
    </row>
    <row r="36" spans="1:5">
      <c r="A36" s="26"/>
      <c r="B36" s="26"/>
      <c r="C36" s="26"/>
      <c r="D36" s="26"/>
      <c r="E36" s="26"/>
    </row>
    <row r="37" spans="1:5">
      <c r="A37" s="26"/>
      <c r="B37" s="26"/>
      <c r="C37" s="26"/>
      <c r="D37" s="26"/>
      <c r="E37" s="26"/>
    </row>
  </sheetData>
  <mergeCells count="2">
    <mergeCell ref="A1:G3"/>
    <mergeCell ref="C5:D5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66"/>
  <sheetViews>
    <sheetView topLeftCell="A32" workbookViewId="0">
      <selection activeCell="A55" sqref="A55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2.710937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69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SUM(C10:C393)</f>
        <v>491085.54000000004</v>
      </c>
      <c r="D7" s="9">
        <f>SUM(D10:D299)</f>
        <v>247789.28</v>
      </c>
      <c r="E7" s="10">
        <f>SUM(E10:E308)</f>
        <v>243296.26</v>
      </c>
    </row>
    <row r="9" spans="1:7" ht="15.75">
      <c r="A9" s="40" t="s">
        <v>0</v>
      </c>
      <c r="B9" s="40" t="s">
        <v>1</v>
      </c>
      <c r="C9" s="40" t="s">
        <v>2</v>
      </c>
      <c r="D9" s="40" t="s">
        <v>3</v>
      </c>
      <c r="E9" s="40" t="s">
        <v>4</v>
      </c>
    </row>
    <row r="10" spans="1:7">
      <c r="A10" s="22" t="s">
        <v>70</v>
      </c>
      <c r="B10" s="22" t="s">
        <v>71</v>
      </c>
      <c r="C10" s="31">
        <v>3870</v>
      </c>
      <c r="D10" s="24">
        <v>3870</v>
      </c>
      <c r="E10" s="35">
        <f>+C10-D10</f>
        <v>0</v>
      </c>
    </row>
    <row r="11" spans="1:7">
      <c r="A11" s="22" t="s">
        <v>78</v>
      </c>
      <c r="B11" s="22" t="s">
        <v>79</v>
      </c>
      <c r="C11" s="24">
        <f>19104+8646</f>
        <v>27750</v>
      </c>
      <c r="D11" s="24">
        <v>27750</v>
      </c>
      <c r="E11" s="35">
        <f t="shared" ref="E11:E58" si="0">+C11-D11</f>
        <v>0</v>
      </c>
    </row>
    <row r="12" spans="1:7">
      <c r="A12" s="22" t="s">
        <v>80</v>
      </c>
      <c r="B12" s="22" t="s">
        <v>81</v>
      </c>
      <c r="C12" s="24">
        <v>1728</v>
      </c>
      <c r="D12" s="24">
        <v>1728</v>
      </c>
      <c r="E12" s="35">
        <f t="shared" si="0"/>
        <v>0</v>
      </c>
    </row>
    <row r="13" spans="1:7">
      <c r="A13" s="22" t="s">
        <v>82</v>
      </c>
      <c r="B13" s="22" t="s">
        <v>83</v>
      </c>
      <c r="C13" s="24">
        <v>4680</v>
      </c>
      <c r="D13" s="23">
        <v>4680</v>
      </c>
      <c r="E13" s="35">
        <f t="shared" si="0"/>
        <v>0</v>
      </c>
    </row>
    <row r="14" spans="1:7">
      <c r="A14" s="22" t="s">
        <v>87</v>
      </c>
      <c r="B14" s="22" t="s">
        <v>81</v>
      </c>
      <c r="C14" s="24">
        <v>1050</v>
      </c>
      <c r="D14" s="23">
        <v>1050</v>
      </c>
      <c r="E14" s="35">
        <f t="shared" si="0"/>
        <v>0</v>
      </c>
    </row>
    <row r="15" spans="1:7">
      <c r="A15" s="22" t="s">
        <v>88</v>
      </c>
      <c r="B15" s="22" t="s">
        <v>71</v>
      </c>
      <c r="C15" s="24">
        <f>+'[3]DETAIL CA MOIS'!$C$28</f>
        <v>11227.08</v>
      </c>
      <c r="D15" s="24">
        <v>11227.08</v>
      </c>
      <c r="E15" s="35">
        <f t="shared" si="0"/>
        <v>0</v>
      </c>
    </row>
    <row r="16" spans="1:7">
      <c r="A16" s="22" t="s">
        <v>98</v>
      </c>
      <c r="B16" s="22" t="s">
        <v>99</v>
      </c>
      <c r="C16" s="23">
        <f>+'[3]DETAIL CA MOIS'!$C$33</f>
        <v>2676</v>
      </c>
      <c r="D16" s="24">
        <v>2676</v>
      </c>
      <c r="E16" s="35">
        <f t="shared" si="0"/>
        <v>0</v>
      </c>
    </row>
    <row r="17" spans="1:5">
      <c r="A17" s="22" t="s">
        <v>98</v>
      </c>
      <c r="B17" s="22" t="s">
        <v>99</v>
      </c>
      <c r="C17" s="38">
        <f>+'[4]DETAIL CA MOIS'!$C$19</f>
        <v>19245</v>
      </c>
      <c r="D17" s="24">
        <v>19245</v>
      </c>
      <c r="E17" s="35">
        <f t="shared" si="0"/>
        <v>0</v>
      </c>
    </row>
    <row r="18" spans="1:5">
      <c r="A18" s="22" t="s">
        <v>107</v>
      </c>
      <c r="B18" s="22" t="s">
        <v>108</v>
      </c>
      <c r="C18" s="24">
        <f>+'[4]DETAIL CA MOIS'!$C$22</f>
        <v>6315</v>
      </c>
      <c r="D18" s="24">
        <v>6315</v>
      </c>
      <c r="E18" s="35">
        <f t="shared" si="0"/>
        <v>0</v>
      </c>
    </row>
    <row r="19" spans="1:5">
      <c r="A19" s="22" t="s">
        <v>109</v>
      </c>
      <c r="B19" s="22" t="s">
        <v>83</v>
      </c>
      <c r="C19" s="24">
        <f>+'[4]DETAIL CA MOIS'!$C$23</f>
        <v>10242</v>
      </c>
      <c r="D19" s="24">
        <v>10242</v>
      </c>
      <c r="E19" s="35">
        <f t="shared" si="0"/>
        <v>0</v>
      </c>
    </row>
    <row r="20" spans="1:5">
      <c r="A20" s="22" t="s">
        <v>110</v>
      </c>
      <c r="B20" s="22" t="s">
        <v>111</v>
      </c>
      <c r="C20" s="23">
        <f>+'[4]DETAIL CA MOIS'!$C$24</f>
        <v>8970</v>
      </c>
      <c r="D20" s="24">
        <v>8970</v>
      </c>
      <c r="E20" s="35">
        <f t="shared" si="0"/>
        <v>0</v>
      </c>
    </row>
    <row r="21" spans="1:5">
      <c r="A21" s="22" t="s">
        <v>119</v>
      </c>
      <c r="B21" s="22" t="s">
        <v>120</v>
      </c>
      <c r="C21" s="24">
        <v>1219.2</v>
      </c>
      <c r="D21" s="24">
        <v>1219.2</v>
      </c>
      <c r="E21" s="35">
        <f t="shared" si="0"/>
        <v>0</v>
      </c>
    </row>
    <row r="22" spans="1:5">
      <c r="A22" s="22" t="s">
        <v>119</v>
      </c>
      <c r="B22" s="22" t="s">
        <v>120</v>
      </c>
      <c r="C22" s="24">
        <v>19461</v>
      </c>
      <c r="D22" s="24">
        <v>19461</v>
      </c>
      <c r="E22" s="35">
        <f t="shared" si="0"/>
        <v>0</v>
      </c>
    </row>
    <row r="23" spans="1:5">
      <c r="A23" s="22" t="s">
        <v>109</v>
      </c>
      <c r="B23" s="22" t="s">
        <v>83</v>
      </c>
      <c r="C23" s="24">
        <v>2954</v>
      </c>
      <c r="D23" s="24"/>
      <c r="E23" s="35">
        <f t="shared" si="0"/>
        <v>2954</v>
      </c>
    </row>
    <row r="24" spans="1:5">
      <c r="A24" s="22" t="s">
        <v>109</v>
      </c>
      <c r="B24" s="22" t="s">
        <v>83</v>
      </c>
      <c r="C24" s="24">
        <v>9940</v>
      </c>
      <c r="D24" s="26"/>
      <c r="E24" s="35">
        <f t="shared" si="0"/>
        <v>9940</v>
      </c>
    </row>
    <row r="25" spans="1:5">
      <c r="A25" s="22" t="s">
        <v>109</v>
      </c>
      <c r="B25" s="22" t="s">
        <v>83</v>
      </c>
      <c r="C25" s="24">
        <f>+'[5]DETAIL CA MOIS'!$D$24</f>
        <v>13979</v>
      </c>
      <c r="D25" s="24">
        <v>13979</v>
      </c>
      <c r="E25" s="35">
        <f t="shared" si="0"/>
        <v>0</v>
      </c>
    </row>
    <row r="26" spans="1:5">
      <c r="A26" s="22" t="s">
        <v>123</v>
      </c>
      <c r="B26" s="22" t="s">
        <v>120</v>
      </c>
      <c r="C26" s="24">
        <f>+'[5]DETAIL CA MOIS'!$D$28</f>
        <v>1689</v>
      </c>
      <c r="D26" s="24">
        <v>1689</v>
      </c>
      <c r="E26" s="35">
        <f t="shared" si="0"/>
        <v>0</v>
      </c>
    </row>
    <row r="27" spans="1:5">
      <c r="A27" s="22" t="s">
        <v>139</v>
      </c>
      <c r="B27" s="22" t="s">
        <v>99</v>
      </c>
      <c r="C27" s="24">
        <v>2889</v>
      </c>
      <c r="D27" s="24">
        <v>2889</v>
      </c>
      <c r="E27" s="35">
        <f t="shared" si="0"/>
        <v>0</v>
      </c>
    </row>
    <row r="28" spans="1:5">
      <c r="A28" s="22" t="s">
        <v>140</v>
      </c>
      <c r="B28" s="22" t="s">
        <v>141</v>
      </c>
      <c r="C28" s="24">
        <v>3755</v>
      </c>
      <c r="D28" s="24"/>
      <c r="E28" s="35">
        <f t="shared" si="0"/>
        <v>3755</v>
      </c>
    </row>
    <row r="29" spans="1:5">
      <c r="A29" s="22" t="s">
        <v>142</v>
      </c>
      <c r="B29" s="22" t="s">
        <v>143</v>
      </c>
      <c r="C29" s="25">
        <f>+'[5]DETAIL CA MOIS'!$D$43</f>
        <v>9989</v>
      </c>
      <c r="D29" s="24">
        <v>9989</v>
      </c>
      <c r="E29" s="35">
        <f t="shared" si="0"/>
        <v>0</v>
      </c>
    </row>
    <row r="30" spans="1:5">
      <c r="A30" s="22" t="s">
        <v>144</v>
      </c>
      <c r="B30" s="22" t="s">
        <v>145</v>
      </c>
      <c r="C30" s="25">
        <f>+'[5]DETAIL CA MOIS'!$D$44</f>
        <v>28462</v>
      </c>
      <c r="D30" s="24">
        <v>28462</v>
      </c>
      <c r="E30" s="35">
        <f t="shared" si="0"/>
        <v>0</v>
      </c>
    </row>
    <row r="31" spans="1:5">
      <c r="A31" s="22" t="s">
        <v>146</v>
      </c>
      <c r="B31" s="22" t="str">
        <f>+'[5]DETAIL CA MOIS'!$C$45</f>
        <v>J215466</v>
      </c>
      <c r="C31" s="25">
        <f>+'[5]DETAIL CA MOIS'!$D$45</f>
        <v>32395</v>
      </c>
      <c r="D31" s="24">
        <v>32395</v>
      </c>
      <c r="E31" s="35">
        <f t="shared" si="0"/>
        <v>0</v>
      </c>
    </row>
    <row r="32" spans="1:5">
      <c r="A32" s="22" t="s">
        <v>147</v>
      </c>
      <c r="B32" s="22" t="s">
        <v>71</v>
      </c>
      <c r="C32" s="25">
        <f>+'[5]DETAIL CA MOIS'!$D$46</f>
        <v>39953</v>
      </c>
      <c r="D32" s="24">
        <v>39953</v>
      </c>
      <c r="E32" s="35">
        <f t="shared" si="0"/>
        <v>0</v>
      </c>
    </row>
    <row r="33" spans="1:5">
      <c r="A33" s="22" t="s">
        <v>109</v>
      </c>
      <c r="B33" s="22" t="s">
        <v>83</v>
      </c>
      <c r="C33" s="23">
        <v>15120</v>
      </c>
      <c r="D33" s="26"/>
      <c r="E33" s="35">
        <f t="shared" si="0"/>
        <v>15120</v>
      </c>
    </row>
    <row r="34" spans="1:5">
      <c r="A34" s="22" t="s">
        <v>146</v>
      </c>
      <c r="B34" s="22" t="s">
        <v>152</v>
      </c>
      <c r="C34" s="23">
        <v>14466</v>
      </c>
      <c r="D34" s="26"/>
      <c r="E34" s="35">
        <f t="shared" si="0"/>
        <v>14466</v>
      </c>
    </row>
    <row r="35" spans="1:5">
      <c r="A35" s="22" t="s">
        <v>109</v>
      </c>
      <c r="B35" s="22" t="s">
        <v>83</v>
      </c>
      <c r="C35" s="23">
        <v>7730</v>
      </c>
      <c r="D35" s="26"/>
      <c r="E35" s="35">
        <f t="shared" si="0"/>
        <v>7730</v>
      </c>
    </row>
    <row r="36" spans="1:5">
      <c r="A36" s="22" t="s">
        <v>169</v>
      </c>
      <c r="B36" s="22" t="s">
        <v>83</v>
      </c>
      <c r="C36" s="24">
        <v>3018</v>
      </c>
      <c r="D36" s="26"/>
      <c r="E36" s="35">
        <f t="shared" si="0"/>
        <v>3018</v>
      </c>
    </row>
    <row r="37" spans="1:5">
      <c r="A37" s="22" t="s">
        <v>169</v>
      </c>
      <c r="B37" s="22" t="s">
        <v>83</v>
      </c>
      <c r="C37" s="24">
        <v>1077</v>
      </c>
      <c r="D37" s="26"/>
      <c r="E37" s="35">
        <f t="shared" si="0"/>
        <v>1077</v>
      </c>
    </row>
    <row r="38" spans="1:5">
      <c r="A38" s="22" t="s">
        <v>172</v>
      </c>
      <c r="B38" s="22" t="s">
        <v>79</v>
      </c>
      <c r="C38" s="24">
        <v>19616</v>
      </c>
      <c r="D38" s="26"/>
      <c r="E38" s="35">
        <f t="shared" si="0"/>
        <v>19616</v>
      </c>
    </row>
    <row r="39" spans="1:5">
      <c r="A39" s="22" t="s">
        <v>171</v>
      </c>
      <c r="B39" s="22" t="s">
        <v>99</v>
      </c>
      <c r="C39" s="24">
        <v>2280</v>
      </c>
      <c r="D39" s="26"/>
      <c r="E39" s="35">
        <f t="shared" si="0"/>
        <v>2280</v>
      </c>
    </row>
    <row r="40" spans="1:5">
      <c r="A40" s="22" t="s">
        <v>85</v>
      </c>
      <c r="B40" s="22" t="s">
        <v>190</v>
      </c>
      <c r="C40" s="24">
        <v>10740</v>
      </c>
      <c r="D40" s="26"/>
      <c r="E40" s="35">
        <f t="shared" si="0"/>
        <v>10740</v>
      </c>
    </row>
    <row r="41" spans="1:5">
      <c r="A41" s="22" t="s">
        <v>191</v>
      </c>
      <c r="B41" s="22" t="s">
        <v>83</v>
      </c>
      <c r="C41" s="24">
        <v>2280</v>
      </c>
      <c r="D41" s="26"/>
      <c r="E41" s="35">
        <f t="shared" si="0"/>
        <v>2280</v>
      </c>
    </row>
    <row r="42" spans="1:5">
      <c r="A42" s="22" t="s">
        <v>107</v>
      </c>
      <c r="B42" s="22" t="s">
        <v>108</v>
      </c>
      <c r="C42" s="24">
        <v>1920</v>
      </c>
      <c r="D42" s="26"/>
      <c r="E42" s="35">
        <f t="shared" si="0"/>
        <v>1920</v>
      </c>
    </row>
    <row r="43" spans="1:5">
      <c r="A43" s="22" t="s">
        <v>85</v>
      </c>
      <c r="B43" s="22" t="s">
        <v>190</v>
      </c>
      <c r="C43" s="24">
        <v>19787</v>
      </c>
      <c r="D43" s="26"/>
      <c r="E43" s="35">
        <f t="shared" si="0"/>
        <v>19787</v>
      </c>
    </row>
    <row r="44" spans="1:5">
      <c r="A44" s="22" t="s">
        <v>192</v>
      </c>
      <c r="B44" s="22" t="s">
        <v>99</v>
      </c>
      <c r="C44" s="24">
        <v>16181.58</v>
      </c>
      <c r="D44" s="26"/>
      <c r="E44" s="35">
        <f t="shared" si="0"/>
        <v>16181.58</v>
      </c>
    </row>
    <row r="45" spans="1:5">
      <c r="A45" s="22" t="s">
        <v>192</v>
      </c>
      <c r="B45" s="22" t="s">
        <v>99</v>
      </c>
      <c r="C45" s="24">
        <v>12215.48</v>
      </c>
      <c r="D45" s="26"/>
      <c r="E45" s="35">
        <f t="shared" si="0"/>
        <v>12215.48</v>
      </c>
    </row>
    <row r="46" spans="1:5">
      <c r="A46" s="22" t="s">
        <v>204</v>
      </c>
      <c r="B46" s="22" t="s">
        <v>83</v>
      </c>
      <c r="C46" s="24">
        <v>4192</v>
      </c>
      <c r="D46" s="26"/>
      <c r="E46" s="35">
        <f t="shared" si="0"/>
        <v>4192</v>
      </c>
    </row>
    <row r="47" spans="1:5">
      <c r="A47" s="22" t="s">
        <v>200</v>
      </c>
      <c r="B47" s="22" t="s">
        <v>202</v>
      </c>
      <c r="C47" s="30">
        <v>3456</v>
      </c>
      <c r="D47" s="26"/>
      <c r="E47" s="35">
        <f t="shared" si="0"/>
        <v>3456</v>
      </c>
    </row>
    <row r="48" spans="1:5">
      <c r="A48" s="22" t="s">
        <v>201</v>
      </c>
      <c r="B48" s="22" t="s">
        <v>203</v>
      </c>
      <c r="C48" s="30">
        <v>1610</v>
      </c>
      <c r="D48" s="26"/>
      <c r="E48" s="35">
        <f t="shared" si="0"/>
        <v>1610</v>
      </c>
    </row>
    <row r="49" spans="1:5">
      <c r="A49" s="22" t="s">
        <v>139</v>
      </c>
      <c r="B49" s="22" t="s">
        <v>210</v>
      </c>
      <c r="C49" s="30">
        <v>2160</v>
      </c>
      <c r="D49" s="26"/>
      <c r="E49" s="35">
        <f t="shared" si="0"/>
        <v>2160</v>
      </c>
    </row>
    <row r="50" spans="1:5">
      <c r="A50" s="26" t="s">
        <v>212</v>
      </c>
      <c r="B50" s="32" t="s">
        <v>211</v>
      </c>
      <c r="C50" s="30">
        <v>3956</v>
      </c>
      <c r="D50" s="26"/>
      <c r="E50" s="35">
        <f t="shared" si="0"/>
        <v>3956</v>
      </c>
    </row>
    <row r="51" spans="1:5">
      <c r="A51" s="22" t="s">
        <v>217</v>
      </c>
      <c r="B51" s="22" t="s">
        <v>216</v>
      </c>
      <c r="C51" s="30">
        <v>9943.2000000000007</v>
      </c>
      <c r="D51" s="26"/>
      <c r="E51" s="35">
        <f t="shared" si="0"/>
        <v>9943.2000000000007</v>
      </c>
    </row>
    <row r="52" spans="1:5">
      <c r="A52" s="32" t="s">
        <v>204</v>
      </c>
      <c r="B52" s="32" t="s">
        <v>220</v>
      </c>
      <c r="C52" s="30">
        <v>8380</v>
      </c>
      <c r="D52" s="26"/>
      <c r="E52" s="35">
        <f t="shared" si="0"/>
        <v>8380</v>
      </c>
    </row>
    <row r="53" spans="1:5">
      <c r="A53" s="26" t="s">
        <v>87</v>
      </c>
      <c r="B53" s="32" t="s">
        <v>221</v>
      </c>
      <c r="C53" s="30">
        <v>8380</v>
      </c>
      <c r="D53" s="26"/>
      <c r="E53" s="35">
        <f t="shared" si="0"/>
        <v>8380</v>
      </c>
    </row>
    <row r="54" spans="1:5">
      <c r="A54" s="26" t="s">
        <v>232</v>
      </c>
      <c r="B54" s="32" t="s">
        <v>231</v>
      </c>
      <c r="C54" s="30">
        <v>9962</v>
      </c>
      <c r="D54" s="26"/>
      <c r="E54" s="35">
        <f t="shared" si="0"/>
        <v>9962</v>
      </c>
    </row>
    <row r="55" spans="1:5">
      <c r="A55" s="26" t="s">
        <v>212</v>
      </c>
      <c r="B55" s="32" t="s">
        <v>222</v>
      </c>
      <c r="C55" s="30">
        <v>8380</v>
      </c>
      <c r="D55" s="26"/>
      <c r="E55" s="35">
        <f t="shared" si="0"/>
        <v>8380</v>
      </c>
    </row>
    <row r="56" spans="1:5">
      <c r="A56" s="61" t="s">
        <v>226</v>
      </c>
      <c r="B56" s="61" t="s">
        <v>228</v>
      </c>
      <c r="C56" s="30">
        <v>8380</v>
      </c>
      <c r="D56" s="26"/>
      <c r="E56" s="35">
        <f t="shared" si="0"/>
        <v>8380</v>
      </c>
    </row>
    <row r="57" spans="1:5">
      <c r="A57" s="61" t="s">
        <v>227</v>
      </c>
      <c r="B57" s="61" t="s">
        <v>99</v>
      </c>
      <c r="C57" s="30">
        <v>8380</v>
      </c>
      <c r="D57" s="26"/>
      <c r="E57" s="35">
        <f t="shared" si="0"/>
        <v>8380</v>
      </c>
    </row>
    <row r="58" spans="1:5">
      <c r="A58" s="61" t="s">
        <v>226</v>
      </c>
      <c r="B58" s="61" t="s">
        <v>228</v>
      </c>
      <c r="C58" s="30">
        <v>3747</v>
      </c>
      <c r="D58" s="67"/>
      <c r="E58" s="35">
        <f t="shared" si="0"/>
        <v>3747</v>
      </c>
    </row>
    <row r="59" spans="1:5">
      <c r="A59" s="61" t="s">
        <v>229</v>
      </c>
      <c r="B59" s="61" t="s">
        <v>99</v>
      </c>
      <c r="C59" s="30">
        <v>19290</v>
      </c>
      <c r="D59" s="67"/>
      <c r="E59" s="35">
        <f t="shared" ref="E59:E66" si="1">+C59-D59</f>
        <v>19290</v>
      </c>
    </row>
    <row r="60" spans="1:5">
      <c r="A60" s="61"/>
      <c r="B60" s="61"/>
      <c r="C60" s="30"/>
      <c r="D60" s="67"/>
      <c r="E60" s="35">
        <f t="shared" si="1"/>
        <v>0</v>
      </c>
    </row>
    <row r="61" spans="1:5">
      <c r="A61" s="61"/>
      <c r="B61" s="61"/>
      <c r="C61" s="30"/>
      <c r="D61" s="67"/>
      <c r="E61" s="35">
        <f t="shared" si="1"/>
        <v>0</v>
      </c>
    </row>
    <row r="62" spans="1:5">
      <c r="A62" s="61"/>
      <c r="B62" s="61"/>
      <c r="C62" s="30"/>
      <c r="D62" s="67"/>
      <c r="E62" s="35">
        <f t="shared" si="1"/>
        <v>0</v>
      </c>
    </row>
    <row r="63" spans="1:5">
      <c r="A63" s="61"/>
      <c r="B63" s="61"/>
      <c r="C63" s="30"/>
      <c r="D63" s="67"/>
      <c r="E63" s="35">
        <f t="shared" si="1"/>
        <v>0</v>
      </c>
    </row>
    <row r="64" spans="1:5">
      <c r="A64" s="61"/>
      <c r="B64" s="61"/>
      <c r="C64" s="30"/>
      <c r="D64" s="67"/>
      <c r="E64" s="35">
        <f t="shared" si="1"/>
        <v>0</v>
      </c>
    </row>
    <row r="65" spans="1:5">
      <c r="A65" s="61"/>
      <c r="B65" s="61"/>
      <c r="C65" s="30"/>
      <c r="D65" s="67"/>
      <c r="E65" s="35">
        <f t="shared" si="1"/>
        <v>0</v>
      </c>
    </row>
    <row r="66" spans="1:5">
      <c r="A66" s="61"/>
      <c r="B66" s="61"/>
      <c r="C66" s="30"/>
      <c r="D66" s="67"/>
      <c r="E66" s="35">
        <f t="shared" si="1"/>
        <v>0</v>
      </c>
    </row>
  </sheetData>
  <mergeCells count="2">
    <mergeCell ref="A1:G3"/>
    <mergeCell ref="C5:D5"/>
  </mergeCells>
  <phoneticPr fontId="14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40"/>
  <sheetViews>
    <sheetView tabSelected="1" topLeftCell="A9" workbookViewId="0">
      <selection activeCell="F32" sqref="F32"/>
    </sheetView>
  </sheetViews>
  <sheetFormatPr baseColWidth="10" defaultRowHeight="15"/>
  <cols>
    <col min="2" max="2" width="25.42578125" bestFit="1" customWidth="1"/>
    <col min="3" max="3" width="25.7109375" customWidth="1"/>
    <col min="4" max="4" width="20.7109375" bestFit="1" customWidth="1"/>
    <col min="5" max="5" width="15.7109375" customWidth="1"/>
  </cols>
  <sheetData>
    <row r="1" spans="1:7">
      <c r="B1" s="80" t="s">
        <v>7</v>
      </c>
      <c r="C1" s="80"/>
      <c r="D1" s="80"/>
      <c r="E1" s="80"/>
      <c r="F1" s="80"/>
      <c r="G1" s="80"/>
    </row>
    <row r="2" spans="1:7">
      <c r="B2" s="80"/>
      <c r="C2" s="80"/>
      <c r="D2" s="80"/>
      <c r="E2" s="80"/>
      <c r="F2" s="80"/>
      <c r="G2" s="80"/>
    </row>
    <row r="3" spans="1:7" ht="15.75" thickBot="1">
      <c r="B3" s="81"/>
      <c r="C3" s="81"/>
      <c r="D3" s="81"/>
      <c r="E3" s="81"/>
      <c r="F3" s="81"/>
      <c r="G3" s="81"/>
    </row>
    <row r="5" spans="1:7" ht="15.75">
      <c r="B5" s="11" t="s">
        <v>175</v>
      </c>
      <c r="C5" s="4"/>
      <c r="D5" s="4" t="s">
        <v>8</v>
      </c>
      <c r="E5" s="69"/>
    </row>
    <row r="6" spans="1:7" ht="15.75">
      <c r="B6" s="4"/>
      <c r="C6" s="4"/>
      <c r="D6" s="4"/>
      <c r="E6" s="69"/>
    </row>
    <row r="7" spans="1:7" ht="18">
      <c r="B7" s="8" t="s">
        <v>24</v>
      </c>
      <c r="C7" s="7"/>
      <c r="D7" s="9"/>
      <c r="E7" s="9"/>
    </row>
    <row r="9" spans="1:7" ht="15.75">
      <c r="A9" s="44" t="s">
        <v>157</v>
      </c>
      <c r="B9" s="44" t="s">
        <v>0</v>
      </c>
      <c r="C9" s="44" t="s">
        <v>1</v>
      </c>
      <c r="D9" s="44" t="s">
        <v>2</v>
      </c>
      <c r="E9" s="44" t="s">
        <v>230</v>
      </c>
      <c r="F9" s="44" t="s">
        <v>215</v>
      </c>
    </row>
    <row r="10" spans="1:7">
      <c r="A10" s="22">
        <v>2026002</v>
      </c>
      <c r="B10" s="22" t="s">
        <v>109</v>
      </c>
      <c r="C10" s="22" t="s">
        <v>83</v>
      </c>
      <c r="D10" s="24">
        <v>2954</v>
      </c>
      <c r="E10" s="72">
        <v>46024</v>
      </c>
      <c r="F10" s="26"/>
    </row>
    <row r="11" spans="1:7">
      <c r="A11" s="22">
        <v>2026004</v>
      </c>
      <c r="B11" s="22" t="s">
        <v>109</v>
      </c>
      <c r="C11" s="22" t="s">
        <v>83</v>
      </c>
      <c r="D11" s="24">
        <v>9940</v>
      </c>
      <c r="E11" s="73">
        <v>46027</v>
      </c>
      <c r="F11" s="26"/>
    </row>
    <row r="12" spans="1:7">
      <c r="A12" s="22">
        <v>2026019</v>
      </c>
      <c r="B12" s="22" t="s">
        <v>140</v>
      </c>
      <c r="C12" s="22" t="s">
        <v>141</v>
      </c>
      <c r="D12" s="24">
        <v>3755</v>
      </c>
      <c r="E12" s="73">
        <v>46042</v>
      </c>
      <c r="F12" s="26"/>
    </row>
    <row r="13" spans="1:7">
      <c r="A13" s="22">
        <v>2026027</v>
      </c>
      <c r="B13" s="22" t="s">
        <v>109</v>
      </c>
      <c r="C13" s="22" t="s">
        <v>83</v>
      </c>
      <c r="D13" s="23">
        <v>15120</v>
      </c>
      <c r="E13" s="73">
        <v>46049</v>
      </c>
      <c r="F13" s="26"/>
    </row>
    <row r="14" spans="1:7">
      <c r="A14" s="22">
        <v>2026032</v>
      </c>
      <c r="B14" s="22" t="s">
        <v>146</v>
      </c>
      <c r="C14" s="22" t="s">
        <v>152</v>
      </c>
      <c r="D14" s="23">
        <v>14466</v>
      </c>
      <c r="E14" s="73">
        <v>46051</v>
      </c>
      <c r="F14" s="26"/>
    </row>
    <row r="15" spans="1:7">
      <c r="A15" s="22">
        <v>2026034</v>
      </c>
      <c r="B15" s="22" t="s">
        <v>109</v>
      </c>
      <c r="C15" s="22" t="s">
        <v>83</v>
      </c>
      <c r="D15" s="23">
        <v>7730</v>
      </c>
      <c r="E15" s="73">
        <v>46052</v>
      </c>
      <c r="F15" s="26">
        <v>335708</v>
      </c>
    </row>
    <row r="16" spans="1:7">
      <c r="A16" s="22">
        <v>2026049</v>
      </c>
      <c r="B16" s="22" t="s">
        <v>169</v>
      </c>
      <c r="C16" s="22" t="s">
        <v>83</v>
      </c>
      <c r="D16" s="24">
        <v>3018</v>
      </c>
      <c r="E16" s="73">
        <v>46062</v>
      </c>
      <c r="F16" s="26">
        <v>336425</v>
      </c>
    </row>
    <row r="17" spans="1:10">
      <c r="A17" s="22">
        <v>2026050</v>
      </c>
      <c r="B17" s="22" t="s">
        <v>169</v>
      </c>
      <c r="C17" s="22" t="s">
        <v>83</v>
      </c>
      <c r="D17" s="24">
        <v>1077</v>
      </c>
      <c r="E17" s="73">
        <v>46065</v>
      </c>
      <c r="F17" s="26">
        <v>336615</v>
      </c>
    </row>
    <row r="18" spans="1:10">
      <c r="A18" s="22">
        <v>2026053</v>
      </c>
      <c r="B18" s="22" t="s">
        <v>172</v>
      </c>
      <c r="C18" s="22" t="s">
        <v>79</v>
      </c>
      <c r="D18" s="24">
        <v>19616</v>
      </c>
      <c r="E18" s="73">
        <v>46072</v>
      </c>
      <c r="F18" s="26">
        <v>49821</v>
      </c>
    </row>
    <row r="19" spans="1:10">
      <c r="A19" s="22">
        <v>2026054</v>
      </c>
      <c r="B19" s="22" t="s">
        <v>171</v>
      </c>
      <c r="C19" s="22" t="s">
        <v>99</v>
      </c>
      <c r="D19" s="24">
        <v>2280</v>
      </c>
      <c r="E19" s="73">
        <v>46071</v>
      </c>
      <c r="F19" s="26">
        <v>208797</v>
      </c>
    </row>
    <row r="20" spans="1:10">
      <c r="A20" s="22">
        <v>2026072</v>
      </c>
      <c r="B20" s="22" t="s">
        <v>85</v>
      </c>
      <c r="C20" s="22" t="s">
        <v>190</v>
      </c>
      <c r="D20" s="24">
        <v>10740</v>
      </c>
      <c r="E20" s="73">
        <v>46108</v>
      </c>
      <c r="F20" s="26">
        <v>53199</v>
      </c>
    </row>
    <row r="21" spans="1:10">
      <c r="A21" s="22">
        <v>2026075</v>
      </c>
      <c r="B21" s="22" t="s">
        <v>191</v>
      </c>
      <c r="C21" s="22" t="s">
        <v>83</v>
      </c>
      <c r="D21" s="24">
        <v>2280</v>
      </c>
      <c r="E21" s="73">
        <v>46108</v>
      </c>
      <c r="F21" s="26">
        <v>339402</v>
      </c>
    </row>
    <row r="22" spans="1:10">
      <c r="A22" s="22">
        <v>2026076</v>
      </c>
      <c r="B22" s="22" t="s">
        <v>107</v>
      </c>
      <c r="C22" s="22" t="s">
        <v>108</v>
      </c>
      <c r="D22" s="24">
        <v>1920</v>
      </c>
      <c r="E22" s="73">
        <v>46108</v>
      </c>
      <c r="F22" s="26">
        <v>85036</v>
      </c>
    </row>
    <row r="23" spans="1:10">
      <c r="A23" s="22">
        <v>2026074</v>
      </c>
      <c r="B23" s="22" t="s">
        <v>85</v>
      </c>
      <c r="C23" s="22" t="s">
        <v>190</v>
      </c>
      <c r="D23" s="24">
        <v>19787</v>
      </c>
      <c r="E23" s="73">
        <v>46111</v>
      </c>
      <c r="F23" s="26">
        <v>53425</v>
      </c>
    </row>
    <row r="24" spans="1:10">
      <c r="A24" s="22">
        <v>2026079</v>
      </c>
      <c r="B24" s="22" t="s">
        <v>193</v>
      </c>
      <c r="C24" s="22" t="s">
        <v>99</v>
      </c>
      <c r="D24" s="24">
        <f>+'CR HARBIL'!C44</f>
        <v>16181.58</v>
      </c>
      <c r="E24" s="73">
        <v>46115</v>
      </c>
      <c r="F24" s="26">
        <v>209449</v>
      </c>
    </row>
    <row r="25" spans="1:10">
      <c r="A25" s="22">
        <v>2026082</v>
      </c>
      <c r="B25" s="22" t="s">
        <v>193</v>
      </c>
      <c r="C25" s="22" t="s">
        <v>99</v>
      </c>
      <c r="D25" s="24">
        <v>12215.48</v>
      </c>
      <c r="E25" s="70">
        <v>46116</v>
      </c>
      <c r="F25" s="26">
        <v>209485</v>
      </c>
    </row>
    <row r="26" spans="1:10">
      <c r="A26" s="22">
        <v>2026080</v>
      </c>
      <c r="B26" s="22" t="s">
        <v>82</v>
      </c>
      <c r="C26" s="22" t="s">
        <v>83</v>
      </c>
      <c r="D26" s="24">
        <v>4192</v>
      </c>
      <c r="E26" s="70">
        <v>46120</v>
      </c>
      <c r="F26" s="26">
        <v>341070</v>
      </c>
    </row>
    <row r="27" spans="1:10">
      <c r="A27" s="22">
        <v>2026085</v>
      </c>
      <c r="B27" s="22" t="s">
        <v>205</v>
      </c>
      <c r="C27" s="22" t="s">
        <v>202</v>
      </c>
      <c r="D27" s="30">
        <v>3456</v>
      </c>
      <c r="E27" s="71">
        <v>46119</v>
      </c>
      <c r="F27" s="26">
        <v>203499</v>
      </c>
    </row>
    <row r="28" spans="1:10">
      <c r="A28" s="22">
        <v>2026086</v>
      </c>
      <c r="B28" s="22" t="s">
        <v>206</v>
      </c>
      <c r="C28" s="22" t="s">
        <v>203</v>
      </c>
      <c r="D28" s="30">
        <v>1610</v>
      </c>
      <c r="E28" s="71">
        <v>46119</v>
      </c>
      <c r="F28" s="26">
        <v>190931</v>
      </c>
    </row>
    <row r="29" spans="1:10">
      <c r="A29" s="22">
        <v>2026091</v>
      </c>
      <c r="B29" s="22" t="s">
        <v>139</v>
      </c>
      <c r="C29" s="22" t="s">
        <v>210</v>
      </c>
      <c r="D29" s="30">
        <v>2160</v>
      </c>
      <c r="E29" s="71">
        <v>46125</v>
      </c>
      <c r="F29" s="26">
        <v>210500</v>
      </c>
    </row>
    <row r="30" spans="1:10">
      <c r="A30" s="22">
        <v>2026092</v>
      </c>
      <c r="B30" s="32" t="s">
        <v>212</v>
      </c>
      <c r="C30" s="32" t="s">
        <v>211</v>
      </c>
      <c r="D30" s="30">
        <v>3956</v>
      </c>
      <c r="E30" s="71">
        <v>46128</v>
      </c>
      <c r="F30" s="26">
        <v>100198</v>
      </c>
      <c r="J30">
        <f>224006.26+19290</f>
        <v>243296.26</v>
      </c>
    </row>
    <row r="31" spans="1:10">
      <c r="A31" s="22">
        <v>2026095</v>
      </c>
      <c r="B31" s="22" t="s">
        <v>232</v>
      </c>
      <c r="C31" s="22" t="s">
        <v>231</v>
      </c>
      <c r="D31" s="30">
        <v>9943.2000000000007</v>
      </c>
      <c r="E31" s="71">
        <v>46132</v>
      </c>
      <c r="F31" s="26">
        <v>246235</v>
      </c>
    </row>
    <row r="32" spans="1:10">
      <c r="A32" s="22">
        <v>20260101</v>
      </c>
      <c r="B32" s="32" t="s">
        <v>204</v>
      </c>
      <c r="C32" s="32" t="s">
        <v>220</v>
      </c>
      <c r="D32" s="30">
        <v>8380</v>
      </c>
      <c r="E32" s="71">
        <v>46135</v>
      </c>
      <c r="F32" s="26">
        <v>342632</v>
      </c>
    </row>
    <row r="33" spans="1:6">
      <c r="A33" s="22">
        <v>20260102</v>
      </c>
      <c r="B33" s="26" t="s">
        <v>87</v>
      </c>
      <c r="C33" s="32" t="s">
        <v>221</v>
      </c>
      <c r="D33" s="30">
        <v>8380</v>
      </c>
      <c r="E33" s="71">
        <v>46135</v>
      </c>
      <c r="F33" s="26">
        <v>59774</v>
      </c>
    </row>
    <row r="34" spans="1:6">
      <c r="A34" s="22">
        <v>20260103</v>
      </c>
      <c r="B34" s="22" t="s">
        <v>212</v>
      </c>
      <c r="C34" s="22" t="s">
        <v>222</v>
      </c>
      <c r="D34" s="30">
        <v>8380</v>
      </c>
      <c r="E34" s="71">
        <v>46135</v>
      </c>
      <c r="F34" s="26">
        <v>57190</v>
      </c>
    </row>
    <row r="35" spans="1:6">
      <c r="A35" s="22">
        <v>20260105</v>
      </c>
      <c r="B35" s="61" t="s">
        <v>226</v>
      </c>
      <c r="C35" s="61" t="s">
        <v>228</v>
      </c>
      <c r="D35" s="30">
        <v>8380</v>
      </c>
      <c r="E35" s="71">
        <v>46136</v>
      </c>
      <c r="F35" s="66">
        <v>100980</v>
      </c>
    </row>
    <row r="36" spans="1:6">
      <c r="A36" s="22">
        <v>2026099</v>
      </c>
      <c r="B36" s="61" t="s">
        <v>227</v>
      </c>
      <c r="C36" s="61" t="s">
        <v>99</v>
      </c>
      <c r="D36" s="30">
        <v>8380</v>
      </c>
      <c r="E36" s="71">
        <v>46136</v>
      </c>
      <c r="F36" s="66">
        <v>210831</v>
      </c>
    </row>
    <row r="37" spans="1:6">
      <c r="A37" s="22">
        <v>20260100</v>
      </c>
      <c r="B37" s="32" t="s">
        <v>217</v>
      </c>
      <c r="C37" s="32" t="s">
        <v>216</v>
      </c>
      <c r="D37" s="30">
        <v>9962</v>
      </c>
      <c r="E37" s="74">
        <v>46137</v>
      </c>
      <c r="F37" s="26">
        <v>360500</v>
      </c>
    </row>
    <row r="38" spans="1:6">
      <c r="A38" s="22">
        <v>20260107</v>
      </c>
      <c r="B38" s="61" t="s">
        <v>226</v>
      </c>
      <c r="C38" s="61" t="s">
        <v>228</v>
      </c>
      <c r="D38" s="30">
        <v>3747</v>
      </c>
      <c r="E38" s="71">
        <v>46137</v>
      </c>
      <c r="F38" s="26">
        <v>101074</v>
      </c>
    </row>
    <row r="39" spans="1:6">
      <c r="A39" s="22">
        <v>20260108</v>
      </c>
      <c r="B39" s="61" t="str">
        <f>+'CR HARBIL'!A59</f>
        <v xml:space="preserve">MITSUBISHI PAJERO SPORT </v>
      </c>
      <c r="C39" s="61" t="str">
        <f>+'CR HARBIL'!B59</f>
        <v>J219569</v>
      </c>
      <c r="D39" s="30">
        <v>19290</v>
      </c>
      <c r="E39" s="71">
        <v>46140</v>
      </c>
      <c r="F39" s="26">
        <v>211296</v>
      </c>
    </row>
    <row r="40" spans="1:6" ht="18.75">
      <c r="A40" s="22"/>
      <c r="B40" s="26"/>
      <c r="C40" s="27" t="s">
        <v>24</v>
      </c>
      <c r="D40" s="28">
        <f>SUM(D10:D39)</f>
        <v>243296.26</v>
      </c>
      <c r="E40" s="28"/>
      <c r="F40" s="26"/>
    </row>
  </sheetData>
  <mergeCells count="1">
    <mergeCell ref="B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G84"/>
  <sheetViews>
    <sheetView topLeftCell="A7" workbookViewId="0">
      <selection activeCell="G26" sqref="G26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1.570312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75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SUM(C10:C24)</f>
        <v>4816.8</v>
      </c>
      <c r="D7" s="9">
        <f>SUM(D10:D30)</f>
        <v>4816.8</v>
      </c>
      <c r="E7" s="10">
        <f>SUM(E10:E25)</f>
        <v>0</v>
      </c>
    </row>
    <row r="9" spans="1:7" ht="15.75">
      <c r="A9" s="41" t="s">
        <v>0</v>
      </c>
      <c r="B9" s="41" t="s">
        <v>1</v>
      </c>
      <c r="C9" s="41" t="s">
        <v>2</v>
      </c>
      <c r="D9" s="41" t="s">
        <v>3</v>
      </c>
      <c r="E9" s="41" t="s">
        <v>4</v>
      </c>
    </row>
    <row r="10" spans="1:7">
      <c r="A10" s="22" t="s">
        <v>76</v>
      </c>
      <c r="B10" s="22" t="s">
        <v>77</v>
      </c>
      <c r="C10" s="23">
        <v>4816.8</v>
      </c>
      <c r="D10" s="24">
        <v>4816.8</v>
      </c>
      <c r="E10" s="35">
        <f>+C10-D10</f>
        <v>0</v>
      </c>
    </row>
    <row r="11" spans="1:7">
      <c r="A11" s="22"/>
      <c r="B11" s="22"/>
      <c r="C11" s="24"/>
      <c r="D11" s="24"/>
      <c r="E11" s="35">
        <f t="shared" ref="E11:E23" si="0">+C11-D11</f>
        <v>0</v>
      </c>
    </row>
    <row r="12" spans="1:7">
      <c r="A12" s="22"/>
      <c r="B12" s="22"/>
      <c r="C12" s="24"/>
      <c r="D12" s="24"/>
      <c r="E12" s="35">
        <f t="shared" si="0"/>
        <v>0</v>
      </c>
    </row>
    <row r="13" spans="1:7">
      <c r="A13" s="22"/>
      <c r="B13" s="22"/>
      <c r="C13" s="23"/>
      <c r="D13" s="23"/>
      <c r="E13" s="35">
        <f t="shared" si="0"/>
        <v>0</v>
      </c>
    </row>
    <row r="14" spans="1:7">
      <c r="A14" s="22"/>
      <c r="B14" s="22"/>
      <c r="C14" s="23"/>
      <c r="D14" s="23"/>
      <c r="E14" s="35">
        <f t="shared" si="0"/>
        <v>0</v>
      </c>
    </row>
    <row r="15" spans="1:7">
      <c r="A15" s="22"/>
      <c r="B15" s="22"/>
      <c r="C15" s="23"/>
      <c r="D15" s="26"/>
      <c r="E15" s="35">
        <f t="shared" si="0"/>
        <v>0</v>
      </c>
    </row>
    <row r="16" spans="1:7">
      <c r="A16" s="22"/>
      <c r="B16" s="22"/>
      <c r="C16" s="23"/>
      <c r="D16" s="26"/>
      <c r="E16" s="35">
        <f t="shared" si="0"/>
        <v>0</v>
      </c>
    </row>
    <row r="17" spans="1:5">
      <c r="A17" s="22"/>
      <c r="B17" s="22"/>
      <c r="C17" s="38"/>
      <c r="D17" s="26"/>
      <c r="E17" s="35">
        <f t="shared" si="0"/>
        <v>0</v>
      </c>
    </row>
    <row r="18" spans="1:5">
      <c r="A18" s="22"/>
      <c r="B18" s="22"/>
      <c r="C18" s="23"/>
      <c r="D18" s="26"/>
      <c r="E18" s="35">
        <f t="shared" si="0"/>
        <v>0</v>
      </c>
    </row>
    <row r="19" spans="1:5">
      <c r="A19" s="22"/>
      <c r="B19" s="22"/>
      <c r="C19" s="23"/>
      <c r="D19" s="26"/>
      <c r="E19" s="35">
        <f t="shared" si="0"/>
        <v>0</v>
      </c>
    </row>
    <row r="20" spans="1:5">
      <c r="A20" s="22"/>
      <c r="B20" s="22"/>
      <c r="C20" s="23"/>
      <c r="D20" s="26"/>
      <c r="E20" s="35">
        <f t="shared" si="0"/>
        <v>0</v>
      </c>
    </row>
    <row r="21" spans="1:5">
      <c r="A21" s="22"/>
      <c r="B21" s="22"/>
      <c r="C21" s="23"/>
      <c r="D21" s="26"/>
      <c r="E21" s="35">
        <f t="shared" si="0"/>
        <v>0</v>
      </c>
    </row>
    <row r="22" spans="1:5">
      <c r="A22" s="22"/>
      <c r="B22" s="22"/>
      <c r="C22" s="24"/>
      <c r="D22" s="26"/>
      <c r="E22" s="35">
        <f t="shared" si="0"/>
        <v>0</v>
      </c>
    </row>
    <row r="23" spans="1:5">
      <c r="A23" s="22"/>
      <c r="B23" s="22"/>
      <c r="C23" s="24"/>
      <c r="D23" s="26"/>
      <c r="E23" s="35">
        <f t="shared" si="0"/>
        <v>0</v>
      </c>
    </row>
    <row r="24" spans="1:5">
      <c r="A24" s="26"/>
      <c r="B24" s="26"/>
      <c r="C24" s="26"/>
      <c r="D24" s="26"/>
      <c r="E24" s="37"/>
    </row>
    <row r="25" spans="1:5">
      <c r="A25" s="26"/>
      <c r="B25" s="26"/>
      <c r="C25" s="26"/>
      <c r="D25" s="26"/>
      <c r="E25" s="37"/>
    </row>
    <row r="26" spans="1:5">
      <c r="A26" s="26"/>
      <c r="B26" s="26"/>
      <c r="C26" s="26"/>
      <c r="D26" s="26"/>
      <c r="E26" s="37"/>
    </row>
    <row r="27" spans="1:5">
      <c r="A27" s="26"/>
      <c r="B27" s="26"/>
      <c r="C27" s="26"/>
      <c r="D27" s="26"/>
      <c r="E27" s="37"/>
    </row>
    <row r="28" spans="1:5">
      <c r="A28" s="26"/>
      <c r="B28" s="26"/>
      <c r="C28" s="26"/>
      <c r="D28" s="26"/>
      <c r="E28" s="37"/>
    </row>
    <row r="29" spans="1:5">
      <c r="A29" s="26"/>
      <c r="B29" s="26"/>
      <c r="C29" s="26"/>
      <c r="D29" s="26"/>
      <c r="E29" s="37"/>
    </row>
    <row r="30" spans="1:5">
      <c r="A30" s="26"/>
      <c r="B30" s="26"/>
      <c r="C30" s="26"/>
      <c r="D30" s="26"/>
      <c r="E30" s="37"/>
    </row>
    <row r="31" spans="1:5">
      <c r="A31" s="26"/>
      <c r="B31" s="26"/>
      <c r="C31" s="26"/>
      <c r="D31" s="26"/>
      <c r="E31" s="37"/>
    </row>
    <row r="32" spans="1:5">
      <c r="A32" s="26"/>
      <c r="B32" s="26"/>
      <c r="C32" s="26"/>
      <c r="D32" s="26"/>
      <c r="E32" s="37"/>
    </row>
    <row r="33" spans="1:5">
      <c r="A33" s="26"/>
      <c r="B33" s="26"/>
      <c r="C33" s="26"/>
      <c r="D33" s="26"/>
      <c r="E33" s="37"/>
    </row>
    <row r="34" spans="1:5">
      <c r="A34" s="26"/>
      <c r="B34" s="26"/>
      <c r="C34" s="26"/>
      <c r="D34" s="26"/>
      <c r="E34" s="37"/>
    </row>
    <row r="35" spans="1:5">
      <c r="A35" s="26"/>
      <c r="B35" s="26"/>
      <c r="C35" s="26"/>
      <c r="D35" s="26"/>
      <c r="E35" s="37"/>
    </row>
    <row r="36" spans="1:5">
      <c r="A36" s="26"/>
      <c r="B36" s="26"/>
      <c r="C36" s="26"/>
      <c r="D36" s="26"/>
      <c r="E36" s="37"/>
    </row>
    <row r="37" spans="1:5">
      <c r="A37" s="26"/>
      <c r="B37" s="26"/>
      <c r="C37" s="26"/>
      <c r="D37" s="26"/>
      <c r="E37" s="26"/>
    </row>
    <row r="38" spans="1:5">
      <c r="A38" s="26"/>
      <c r="B38" s="26"/>
      <c r="C38" s="26"/>
      <c r="D38" s="26"/>
      <c r="E38" s="26"/>
    </row>
    <row r="39" spans="1:5">
      <c r="A39" s="26"/>
      <c r="B39" s="26"/>
      <c r="C39" s="26"/>
      <c r="D39" s="26"/>
      <c r="E39" s="26"/>
    </row>
    <row r="40" spans="1:5">
      <c r="A40" s="26"/>
      <c r="B40" s="26"/>
      <c r="C40" s="26"/>
      <c r="D40" s="26"/>
      <c r="E40" s="26"/>
    </row>
    <row r="41" spans="1:5">
      <c r="A41" s="26"/>
      <c r="B41" s="26"/>
      <c r="C41" s="26"/>
      <c r="D41" s="26"/>
      <c r="E41" s="26"/>
    </row>
    <row r="42" spans="1:5">
      <c r="A42" s="26"/>
      <c r="B42" s="26"/>
      <c r="C42" s="26"/>
      <c r="D42" s="26"/>
      <c r="E42" s="26"/>
    </row>
    <row r="43" spans="1:5">
      <c r="A43" s="26"/>
      <c r="B43" s="26"/>
      <c r="C43" s="26"/>
      <c r="D43" s="26"/>
      <c r="E43" s="26"/>
    </row>
    <row r="44" spans="1:5">
      <c r="A44" s="26"/>
      <c r="B44" s="26"/>
      <c r="C44" s="26"/>
      <c r="D44" s="26"/>
      <c r="E44" s="26"/>
    </row>
    <row r="45" spans="1:5">
      <c r="A45" s="26"/>
      <c r="B45" s="26"/>
      <c r="C45" s="26"/>
      <c r="D45" s="26"/>
      <c r="E45" s="26"/>
    </row>
    <row r="46" spans="1:5">
      <c r="A46" s="26"/>
      <c r="B46" s="26"/>
      <c r="C46" s="26"/>
      <c r="D46" s="26"/>
      <c r="E46" s="26"/>
    </row>
    <row r="47" spans="1:5">
      <c r="A47" s="26"/>
      <c r="B47" s="26"/>
      <c r="C47" s="26"/>
      <c r="D47" s="26"/>
      <c r="E47" s="26"/>
    </row>
    <row r="48" spans="1:5">
      <c r="A48" s="26"/>
      <c r="B48" s="26"/>
      <c r="C48" s="26"/>
      <c r="D48" s="26"/>
      <c r="E48" s="26"/>
    </row>
    <row r="49" spans="1:5">
      <c r="A49" s="26"/>
      <c r="B49" s="26"/>
      <c r="C49" s="26"/>
      <c r="D49" s="26"/>
      <c r="E49" s="26"/>
    </row>
    <row r="50" spans="1:5">
      <c r="A50" s="26"/>
      <c r="B50" s="26"/>
      <c r="C50" s="26"/>
      <c r="D50" s="26"/>
      <c r="E50" s="26"/>
    </row>
    <row r="51" spans="1:5">
      <c r="A51" s="26"/>
      <c r="B51" s="26"/>
      <c r="C51" s="26"/>
      <c r="D51" s="26"/>
      <c r="E51" s="26"/>
    </row>
    <row r="52" spans="1:5">
      <c r="A52" s="26"/>
      <c r="B52" s="26"/>
      <c r="C52" s="26"/>
      <c r="D52" s="26"/>
      <c r="E52" s="26"/>
    </row>
    <row r="53" spans="1:5">
      <c r="A53" s="26"/>
      <c r="B53" s="26"/>
      <c r="C53" s="26"/>
      <c r="D53" s="26"/>
      <c r="E53" s="26"/>
    </row>
    <row r="54" spans="1:5">
      <c r="A54" s="26"/>
      <c r="B54" s="26"/>
      <c r="C54" s="26"/>
      <c r="D54" s="26"/>
      <c r="E54" s="26"/>
    </row>
    <row r="55" spans="1:5">
      <c r="A55" s="26"/>
      <c r="B55" s="26"/>
      <c r="C55" s="26"/>
      <c r="D55" s="26"/>
      <c r="E55" s="26"/>
    </row>
    <row r="56" spans="1:5">
      <c r="A56" s="26"/>
      <c r="B56" s="26"/>
      <c r="C56" s="26"/>
      <c r="D56" s="26"/>
      <c r="E56" s="26"/>
    </row>
    <row r="57" spans="1:5">
      <c r="A57" s="26"/>
      <c r="B57" s="26"/>
      <c r="C57" s="26"/>
      <c r="D57" s="26"/>
      <c r="E57" s="26"/>
    </row>
    <row r="58" spans="1:5">
      <c r="A58" s="26"/>
      <c r="B58" s="26"/>
      <c r="C58" s="26"/>
      <c r="D58" s="26"/>
      <c r="E58" s="26"/>
    </row>
    <row r="59" spans="1:5">
      <c r="A59" s="26"/>
      <c r="B59" s="26"/>
      <c r="C59" s="26"/>
      <c r="D59" s="26"/>
      <c r="E59" s="26"/>
    </row>
    <row r="60" spans="1:5">
      <c r="A60" s="26"/>
      <c r="B60" s="26"/>
      <c r="C60" s="26"/>
      <c r="D60" s="26"/>
      <c r="E60" s="26"/>
    </row>
    <row r="61" spans="1:5">
      <c r="A61" s="26"/>
      <c r="B61" s="26"/>
      <c r="C61" s="26"/>
      <c r="D61" s="26"/>
      <c r="E61" s="26"/>
    </row>
    <row r="62" spans="1:5">
      <c r="A62" s="26"/>
      <c r="B62" s="26"/>
      <c r="C62" s="26"/>
      <c r="D62" s="26"/>
      <c r="E62" s="26"/>
    </row>
    <row r="63" spans="1:5">
      <c r="A63" s="26"/>
      <c r="B63" s="26"/>
      <c r="C63" s="26"/>
      <c r="D63" s="26"/>
      <c r="E63" s="26"/>
    </row>
    <row r="64" spans="1:5">
      <c r="A64" s="26"/>
      <c r="B64" s="26"/>
      <c r="C64" s="26"/>
      <c r="D64" s="26"/>
      <c r="E64" s="26"/>
    </row>
    <row r="65" spans="1:5">
      <c r="A65" s="26"/>
      <c r="B65" s="26"/>
      <c r="C65" s="26"/>
      <c r="D65" s="26"/>
      <c r="E65" s="26"/>
    </row>
    <row r="66" spans="1:5">
      <c r="A66" s="26"/>
      <c r="B66" s="26"/>
      <c r="C66" s="26"/>
      <c r="D66" s="26"/>
      <c r="E66" s="26"/>
    </row>
    <row r="67" spans="1:5">
      <c r="A67" s="26"/>
      <c r="B67" s="26"/>
      <c r="C67" s="26"/>
      <c r="D67" s="26"/>
      <c r="E67" s="26"/>
    </row>
    <row r="68" spans="1:5">
      <c r="A68" s="26"/>
      <c r="B68" s="26"/>
      <c r="C68" s="26"/>
      <c r="D68" s="26"/>
      <c r="E68" s="26"/>
    </row>
    <row r="69" spans="1:5">
      <c r="A69" s="26"/>
      <c r="B69" s="26"/>
      <c r="C69" s="26"/>
      <c r="D69" s="26"/>
      <c r="E69" s="26"/>
    </row>
    <row r="70" spans="1:5">
      <c r="A70" s="26"/>
      <c r="B70" s="26"/>
      <c r="C70" s="26"/>
      <c r="D70" s="26"/>
      <c r="E70" s="26"/>
    </row>
    <row r="71" spans="1:5">
      <c r="A71" s="26"/>
      <c r="B71" s="26"/>
      <c r="C71" s="26"/>
      <c r="D71" s="26"/>
      <c r="E71" s="26"/>
    </row>
    <row r="72" spans="1:5">
      <c r="A72" s="26"/>
      <c r="B72" s="26"/>
      <c r="C72" s="26"/>
      <c r="D72" s="26"/>
      <c r="E72" s="26"/>
    </row>
    <row r="73" spans="1:5">
      <c r="A73" s="26"/>
      <c r="B73" s="26"/>
      <c r="C73" s="26"/>
      <c r="D73" s="26"/>
      <c r="E73" s="26"/>
    </row>
    <row r="74" spans="1:5">
      <c r="A74" s="26"/>
      <c r="B74" s="26"/>
      <c r="C74" s="26"/>
      <c r="D74" s="26"/>
      <c r="E74" s="26"/>
    </row>
    <row r="75" spans="1:5">
      <c r="A75" s="26"/>
      <c r="B75" s="26"/>
      <c r="C75" s="26"/>
      <c r="D75" s="26"/>
      <c r="E75" s="26"/>
    </row>
    <row r="76" spans="1:5">
      <c r="A76" s="26"/>
      <c r="B76" s="26"/>
      <c r="C76" s="26"/>
      <c r="D76" s="26"/>
      <c r="E76" s="26"/>
    </row>
    <row r="77" spans="1:5">
      <c r="A77" s="26"/>
      <c r="B77" s="26"/>
      <c r="C77" s="26"/>
      <c r="D77" s="26"/>
      <c r="E77" s="26"/>
    </row>
    <row r="78" spans="1:5">
      <c r="A78" s="26"/>
      <c r="B78" s="26"/>
      <c r="C78" s="26"/>
      <c r="D78" s="26"/>
      <c r="E78" s="26"/>
    </row>
    <row r="79" spans="1:5">
      <c r="A79" s="26"/>
      <c r="B79" s="26"/>
      <c r="C79" s="26"/>
      <c r="D79" s="26"/>
      <c r="E79" s="26"/>
    </row>
    <row r="80" spans="1:5">
      <c r="A80" s="26"/>
      <c r="B80" s="26"/>
      <c r="C80" s="26"/>
      <c r="D80" s="26"/>
      <c r="E80" s="26"/>
    </row>
    <row r="81" spans="1:5">
      <c r="A81" s="26"/>
      <c r="B81" s="26"/>
      <c r="C81" s="26"/>
      <c r="D81" s="26"/>
      <c r="E81" s="26"/>
    </row>
    <row r="82" spans="1:5">
      <c r="A82" s="26"/>
      <c r="B82" s="26"/>
      <c r="C82" s="26"/>
      <c r="D82" s="26"/>
      <c r="E82" s="26"/>
    </row>
    <row r="83" spans="1:5">
      <c r="A83" s="26"/>
      <c r="B83" s="26"/>
      <c r="C83" s="26"/>
      <c r="D83" s="26"/>
      <c r="E83" s="26"/>
    </row>
    <row r="84" spans="1:5">
      <c r="A84" s="26"/>
      <c r="B84" s="26"/>
      <c r="C84" s="26"/>
      <c r="D84" s="26"/>
      <c r="E84" s="26"/>
    </row>
  </sheetData>
  <mergeCells count="2">
    <mergeCell ref="A1:G3"/>
    <mergeCell ref="C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44"/>
  <sheetViews>
    <sheetView workbookViewId="0">
      <selection activeCell="G32" sqref="G32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1.570312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91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SUM(C10:C41)</f>
        <v>175403.44000000003</v>
      </c>
      <c r="D7" s="9">
        <f>SUM(D10:D41)</f>
        <v>0</v>
      </c>
      <c r="E7" s="10">
        <f>SUM(E10:E41)</f>
        <v>175403.44000000003</v>
      </c>
    </row>
    <row r="9" spans="1:7" ht="15.75">
      <c r="A9" s="42" t="s">
        <v>0</v>
      </c>
      <c r="B9" s="42" t="s">
        <v>1</v>
      </c>
      <c r="C9" s="42" t="s">
        <v>2</v>
      </c>
      <c r="D9" s="42" t="s">
        <v>3</v>
      </c>
      <c r="E9" s="42" t="s">
        <v>4</v>
      </c>
    </row>
    <row r="10" spans="1:7">
      <c r="A10" s="22" t="s">
        <v>92</v>
      </c>
      <c r="B10" s="22" t="s">
        <v>93</v>
      </c>
      <c r="C10" s="24">
        <f>6504+8732.4</f>
        <v>15236.4</v>
      </c>
      <c r="D10" s="24"/>
      <c r="E10" s="35">
        <f>+C10-D10</f>
        <v>15236.4</v>
      </c>
    </row>
    <row r="11" spans="1:7">
      <c r="A11" s="22" t="s">
        <v>103</v>
      </c>
      <c r="B11" s="22" t="s">
        <v>104</v>
      </c>
      <c r="C11" s="24">
        <v>39560.76</v>
      </c>
      <c r="D11" s="24"/>
      <c r="E11" s="35">
        <f>+C11-D11</f>
        <v>39560.76</v>
      </c>
    </row>
    <row r="12" spans="1:7">
      <c r="A12" s="22" t="s">
        <v>103</v>
      </c>
      <c r="B12" s="22" t="s">
        <v>104</v>
      </c>
      <c r="C12" s="24">
        <v>9490</v>
      </c>
      <c r="D12" s="24"/>
      <c r="E12" s="35">
        <f t="shared" ref="E12:E31" si="0">+C12-D12</f>
        <v>9490</v>
      </c>
    </row>
    <row r="13" spans="1:7">
      <c r="A13" s="22" t="s">
        <v>133</v>
      </c>
      <c r="B13" s="22" t="s">
        <v>134</v>
      </c>
      <c r="C13" s="24">
        <f>+'[5]DETAIL CA MOIS'!$D$23</f>
        <v>14736.84</v>
      </c>
      <c r="D13" s="24"/>
      <c r="E13" s="35">
        <f t="shared" si="0"/>
        <v>14736.84</v>
      </c>
    </row>
    <row r="14" spans="1:7">
      <c r="A14" s="22" t="s">
        <v>135</v>
      </c>
      <c r="B14" s="22" t="s">
        <v>136</v>
      </c>
      <c r="C14" s="23">
        <f>+'[5]DETAIL CA MOIS'!$D$38</f>
        <v>35100</v>
      </c>
      <c r="D14" s="23"/>
      <c r="E14" s="35">
        <f t="shared" si="0"/>
        <v>35100</v>
      </c>
    </row>
    <row r="15" spans="1:7">
      <c r="A15" s="22" t="s">
        <v>150</v>
      </c>
      <c r="B15" s="22" t="s">
        <v>151</v>
      </c>
      <c r="C15" s="23">
        <v>23892.84</v>
      </c>
      <c r="D15" s="23"/>
      <c r="E15" s="35">
        <f t="shared" si="0"/>
        <v>23892.84</v>
      </c>
    </row>
    <row r="16" spans="1:7">
      <c r="A16" s="22" t="s">
        <v>179</v>
      </c>
      <c r="B16" s="22" t="s">
        <v>181</v>
      </c>
      <c r="C16" s="23">
        <v>3838.2</v>
      </c>
      <c r="D16" s="26"/>
      <c r="E16" s="35">
        <f t="shared" si="0"/>
        <v>3838.2</v>
      </c>
    </row>
    <row r="17" spans="1:5">
      <c r="A17" s="22" t="s">
        <v>180</v>
      </c>
      <c r="B17" s="22" t="s">
        <v>182</v>
      </c>
      <c r="C17" s="23">
        <v>5619</v>
      </c>
      <c r="D17" s="26"/>
      <c r="E17" s="35">
        <f t="shared" si="0"/>
        <v>5619</v>
      </c>
    </row>
    <row r="18" spans="1:5">
      <c r="A18" s="22" t="s">
        <v>180</v>
      </c>
      <c r="B18" s="22" t="s">
        <v>183</v>
      </c>
      <c r="C18" s="23">
        <v>5619</v>
      </c>
      <c r="D18" s="26"/>
      <c r="E18" s="35">
        <f t="shared" si="0"/>
        <v>5619</v>
      </c>
    </row>
    <row r="19" spans="1:5">
      <c r="A19" s="22" t="s">
        <v>180</v>
      </c>
      <c r="B19" s="22" t="s">
        <v>184</v>
      </c>
      <c r="C19" s="23">
        <v>3588.6</v>
      </c>
      <c r="D19" s="26"/>
      <c r="E19" s="35">
        <f t="shared" si="0"/>
        <v>3588.6</v>
      </c>
    </row>
    <row r="20" spans="1:5">
      <c r="A20" s="22" t="s">
        <v>179</v>
      </c>
      <c r="B20" s="22" t="s">
        <v>185</v>
      </c>
      <c r="C20" s="23">
        <v>3838.2</v>
      </c>
      <c r="D20" s="26"/>
      <c r="E20" s="35">
        <f t="shared" si="0"/>
        <v>3838.2</v>
      </c>
    </row>
    <row r="21" spans="1:5">
      <c r="A21" s="22" t="s">
        <v>180</v>
      </c>
      <c r="B21" s="22"/>
      <c r="C21" s="23">
        <v>4858.2</v>
      </c>
      <c r="D21" s="26"/>
      <c r="E21" s="35">
        <f t="shared" si="0"/>
        <v>4858.2</v>
      </c>
    </row>
    <row r="22" spans="1:5">
      <c r="A22" s="22" t="s">
        <v>180</v>
      </c>
      <c r="B22" s="22" t="s">
        <v>186</v>
      </c>
      <c r="C22" s="23">
        <v>6436.8</v>
      </c>
      <c r="D22" s="26"/>
      <c r="E22" s="35">
        <f t="shared" si="0"/>
        <v>6436.8</v>
      </c>
    </row>
    <row r="23" spans="1:5">
      <c r="A23" s="22" t="s">
        <v>180</v>
      </c>
      <c r="B23" s="22" t="s">
        <v>187</v>
      </c>
      <c r="C23" s="23">
        <v>3588.6</v>
      </c>
      <c r="D23" s="26"/>
      <c r="E23" s="35">
        <f t="shared" si="0"/>
        <v>3588.6</v>
      </c>
    </row>
    <row r="24" spans="1:5">
      <c r="A24" s="22"/>
      <c r="B24" s="22"/>
      <c r="C24" s="24"/>
      <c r="D24" s="26"/>
      <c r="E24" s="35">
        <f t="shared" si="0"/>
        <v>0</v>
      </c>
    </row>
    <row r="25" spans="1:5">
      <c r="A25" s="22"/>
      <c r="B25" s="22"/>
      <c r="C25" s="24"/>
      <c r="D25" s="26"/>
      <c r="E25" s="35">
        <f t="shared" si="0"/>
        <v>0</v>
      </c>
    </row>
    <row r="26" spans="1:5">
      <c r="A26" s="22"/>
      <c r="B26" s="22"/>
      <c r="C26" s="24"/>
      <c r="D26" s="26"/>
      <c r="E26" s="35">
        <f t="shared" si="0"/>
        <v>0</v>
      </c>
    </row>
    <row r="27" spans="1:5">
      <c r="A27" s="22"/>
      <c r="B27" s="22"/>
      <c r="C27" s="24"/>
      <c r="D27" s="26"/>
      <c r="E27" s="35">
        <f t="shared" si="0"/>
        <v>0</v>
      </c>
    </row>
    <row r="28" spans="1:5">
      <c r="A28" s="22"/>
      <c r="B28" s="22"/>
      <c r="C28" s="24"/>
      <c r="D28" s="26"/>
      <c r="E28" s="35">
        <f t="shared" si="0"/>
        <v>0</v>
      </c>
    </row>
    <row r="29" spans="1:5">
      <c r="A29" s="22"/>
      <c r="B29" s="22"/>
      <c r="C29" s="24"/>
      <c r="D29" s="26"/>
      <c r="E29" s="35">
        <f t="shared" si="0"/>
        <v>0</v>
      </c>
    </row>
    <row r="30" spans="1:5">
      <c r="A30" s="22"/>
      <c r="B30" s="22"/>
      <c r="C30" s="24"/>
      <c r="D30" s="26"/>
      <c r="E30" s="35">
        <f t="shared" si="0"/>
        <v>0</v>
      </c>
    </row>
    <row r="31" spans="1:5">
      <c r="A31" s="26"/>
      <c r="B31" s="26"/>
      <c r="C31" s="26"/>
      <c r="D31" s="26"/>
      <c r="E31" s="35">
        <f t="shared" si="0"/>
        <v>0</v>
      </c>
    </row>
    <row r="32" spans="1:5">
      <c r="A32" s="26"/>
      <c r="B32" s="26"/>
      <c r="C32" s="26"/>
      <c r="D32" s="26"/>
      <c r="E32" s="37"/>
    </row>
    <row r="33" spans="1:5">
      <c r="A33" s="26"/>
      <c r="B33" s="26"/>
      <c r="C33" s="26"/>
      <c r="D33" s="26"/>
      <c r="E33" s="37"/>
    </row>
    <row r="34" spans="1:5">
      <c r="A34" s="26"/>
      <c r="B34" s="26"/>
      <c r="C34" s="26"/>
      <c r="D34" s="26"/>
      <c r="E34" s="37"/>
    </row>
    <row r="35" spans="1:5">
      <c r="A35" s="26"/>
      <c r="B35" s="26"/>
      <c r="C35" s="26"/>
      <c r="D35" s="26"/>
      <c r="E35" s="37"/>
    </row>
    <row r="36" spans="1:5">
      <c r="A36" s="26"/>
      <c r="B36" s="26"/>
      <c r="C36" s="26"/>
      <c r="D36" s="26"/>
      <c r="E36" s="37"/>
    </row>
    <row r="37" spans="1:5">
      <c r="A37" s="26"/>
      <c r="B37" s="26"/>
      <c r="C37" s="26"/>
      <c r="D37" s="26"/>
      <c r="E37" s="37"/>
    </row>
    <row r="38" spans="1:5">
      <c r="A38" s="26"/>
      <c r="B38" s="26"/>
      <c r="C38" s="26"/>
      <c r="D38" s="26"/>
      <c r="E38" s="37"/>
    </row>
    <row r="39" spans="1:5">
      <c r="A39" s="26"/>
      <c r="B39" s="26"/>
      <c r="C39" s="26"/>
      <c r="D39" s="26"/>
      <c r="E39" s="37"/>
    </row>
    <row r="40" spans="1:5">
      <c r="A40" s="26"/>
      <c r="B40" s="26"/>
      <c r="C40" s="26"/>
      <c r="D40" s="26"/>
      <c r="E40" s="37"/>
    </row>
    <row r="41" spans="1:5">
      <c r="A41" s="26"/>
      <c r="B41" s="26"/>
      <c r="C41" s="26"/>
      <c r="D41" s="26"/>
      <c r="E41" s="37"/>
    </row>
    <row r="42" spans="1:5">
      <c r="A42" s="26"/>
      <c r="B42" s="26"/>
      <c r="C42" s="26"/>
      <c r="D42" s="26"/>
      <c r="E42" s="37"/>
    </row>
    <row r="43" spans="1:5">
      <c r="A43" s="26"/>
      <c r="B43" s="26"/>
      <c r="C43" s="26"/>
      <c r="D43" s="26"/>
      <c r="E43" s="37"/>
    </row>
    <row r="44" spans="1:5">
      <c r="A44" s="26"/>
      <c r="B44" s="26"/>
      <c r="C44" s="26"/>
      <c r="D44" s="26"/>
      <c r="E44" s="37"/>
    </row>
  </sheetData>
  <mergeCells count="2">
    <mergeCell ref="A1:G3"/>
    <mergeCell ref="C5:D5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26"/>
  <sheetViews>
    <sheetView topLeftCell="A4" workbookViewId="0">
      <selection activeCell="F26" sqref="F26"/>
    </sheetView>
  </sheetViews>
  <sheetFormatPr baseColWidth="10" defaultRowHeight="15"/>
  <cols>
    <col min="2" max="2" width="25.42578125" bestFit="1" customWidth="1"/>
    <col min="3" max="3" width="25.7109375" customWidth="1"/>
    <col min="4" max="4" width="20.7109375" bestFit="1" customWidth="1"/>
  </cols>
  <sheetData>
    <row r="1" spans="1:6">
      <c r="B1" s="80" t="s">
        <v>7</v>
      </c>
      <c r="C1" s="80"/>
      <c r="D1" s="80"/>
      <c r="E1" s="80"/>
      <c r="F1" s="80"/>
    </row>
    <row r="2" spans="1:6">
      <c r="B2" s="80"/>
      <c r="C2" s="80"/>
      <c r="D2" s="80"/>
      <c r="E2" s="80"/>
      <c r="F2" s="80"/>
    </row>
    <row r="3" spans="1:6" ht="15.75" thickBot="1">
      <c r="B3" s="81"/>
      <c r="C3" s="81"/>
      <c r="D3" s="81"/>
      <c r="E3" s="81"/>
      <c r="F3" s="81"/>
    </row>
    <row r="5" spans="1:6" ht="15.75">
      <c r="B5" s="11" t="s">
        <v>176</v>
      </c>
      <c r="C5" s="4"/>
      <c r="D5" s="4" t="s">
        <v>8</v>
      </c>
    </row>
    <row r="6" spans="1:6" ht="15.75">
      <c r="B6" s="4"/>
      <c r="C6" s="4"/>
      <c r="D6" s="4"/>
    </row>
    <row r="7" spans="1:6" ht="18">
      <c r="B7" s="8" t="s">
        <v>24</v>
      </c>
      <c r="C7" s="7"/>
      <c r="D7" s="9"/>
    </row>
    <row r="9" spans="1:6" ht="15.75">
      <c r="A9" s="45" t="s">
        <v>157</v>
      </c>
      <c r="B9" s="45" t="s">
        <v>0</v>
      </c>
      <c r="C9" s="45" t="s">
        <v>1</v>
      </c>
      <c r="D9" s="45" t="s">
        <v>2</v>
      </c>
    </row>
    <row r="10" spans="1:6">
      <c r="A10" s="22" t="s">
        <v>177</v>
      </c>
      <c r="B10" s="22" t="s">
        <v>92</v>
      </c>
      <c r="C10" s="22" t="s">
        <v>93</v>
      </c>
      <c r="D10" s="24">
        <v>6504</v>
      </c>
    </row>
    <row r="11" spans="1:6">
      <c r="A11" s="22">
        <v>2025306</v>
      </c>
      <c r="B11" s="22" t="s">
        <v>92</v>
      </c>
      <c r="C11" s="22" t="s">
        <v>93</v>
      </c>
      <c r="D11" s="24">
        <v>8732.4</v>
      </c>
    </row>
    <row r="12" spans="1:6">
      <c r="A12" s="22">
        <v>2025304</v>
      </c>
      <c r="B12" s="22" t="s">
        <v>103</v>
      </c>
      <c r="C12" s="22" t="s">
        <v>104</v>
      </c>
      <c r="D12" s="24">
        <v>39560.76</v>
      </c>
    </row>
    <row r="13" spans="1:6">
      <c r="A13" s="22" t="s">
        <v>178</v>
      </c>
      <c r="B13" s="22" t="s">
        <v>103</v>
      </c>
      <c r="C13" s="22" t="s">
        <v>104</v>
      </c>
      <c r="D13" s="24">
        <v>9490</v>
      </c>
    </row>
    <row r="14" spans="1:6">
      <c r="A14" s="22">
        <v>2026007</v>
      </c>
      <c r="B14" s="22" t="s">
        <v>133</v>
      </c>
      <c r="C14" s="22" t="s">
        <v>134</v>
      </c>
      <c r="D14" s="24">
        <f>+'[5]DETAIL CA MOIS'!$D$23</f>
        <v>14736.84</v>
      </c>
    </row>
    <row r="15" spans="1:6">
      <c r="A15" s="22">
        <v>2026017</v>
      </c>
      <c r="B15" s="22" t="s">
        <v>135</v>
      </c>
      <c r="C15" s="22" t="s">
        <v>136</v>
      </c>
      <c r="D15" s="23">
        <f>+'[5]DETAIL CA MOIS'!$D$38</f>
        <v>35100</v>
      </c>
    </row>
    <row r="16" spans="1:6">
      <c r="A16" s="22">
        <v>2026025</v>
      </c>
      <c r="B16" s="22" t="s">
        <v>150</v>
      </c>
      <c r="C16" s="22" t="s">
        <v>151</v>
      </c>
      <c r="D16" s="23">
        <v>23892.84</v>
      </c>
    </row>
    <row r="17" spans="1:4">
      <c r="A17" s="22">
        <v>2026059</v>
      </c>
      <c r="B17" s="22" t="s">
        <v>179</v>
      </c>
      <c r="C17" s="22" t="s">
        <v>181</v>
      </c>
      <c r="D17" s="24">
        <v>3838.2</v>
      </c>
    </row>
    <row r="18" spans="1:4">
      <c r="A18" s="22">
        <v>2026060</v>
      </c>
      <c r="B18" s="22" t="s">
        <v>180</v>
      </c>
      <c r="C18" s="22" t="s">
        <v>182</v>
      </c>
      <c r="D18" s="29">
        <v>5619</v>
      </c>
    </row>
    <row r="19" spans="1:4">
      <c r="A19" s="22">
        <v>2026061</v>
      </c>
      <c r="B19" s="22" t="s">
        <v>180</v>
      </c>
      <c r="C19" s="22" t="s">
        <v>183</v>
      </c>
      <c r="D19" s="24">
        <v>5619</v>
      </c>
    </row>
    <row r="20" spans="1:4">
      <c r="A20" s="22">
        <v>2026062</v>
      </c>
      <c r="B20" s="22" t="s">
        <v>180</v>
      </c>
      <c r="C20" s="22" t="s">
        <v>184</v>
      </c>
      <c r="D20" s="29">
        <v>3588.6</v>
      </c>
    </row>
    <row r="21" spans="1:4">
      <c r="A21" s="22">
        <v>2026063</v>
      </c>
      <c r="B21" s="22" t="s">
        <v>179</v>
      </c>
      <c r="C21" s="22" t="s">
        <v>185</v>
      </c>
      <c r="D21" s="24">
        <v>3838.2</v>
      </c>
    </row>
    <row r="22" spans="1:4">
      <c r="A22" s="22">
        <v>2026064</v>
      </c>
      <c r="B22" s="22" t="s">
        <v>180</v>
      </c>
      <c r="C22" s="22"/>
      <c r="D22" s="24">
        <v>4858.2</v>
      </c>
    </row>
    <row r="23" spans="1:4">
      <c r="A23" s="22">
        <v>2026065</v>
      </c>
      <c r="B23" s="22" t="s">
        <v>180</v>
      </c>
      <c r="C23" s="22" t="s">
        <v>186</v>
      </c>
      <c r="D23" s="29">
        <v>6436.8</v>
      </c>
    </row>
    <row r="24" spans="1:4">
      <c r="A24" s="22">
        <v>2026066</v>
      </c>
      <c r="B24" s="22" t="s">
        <v>180</v>
      </c>
      <c r="C24" s="22" t="s">
        <v>187</v>
      </c>
      <c r="D24" s="29">
        <v>3588.6</v>
      </c>
    </row>
    <row r="25" spans="1:4">
      <c r="A25" s="22"/>
      <c r="B25" s="22"/>
      <c r="C25" s="22"/>
      <c r="D25" s="24"/>
    </row>
    <row r="26" spans="1:4" ht="18.75">
      <c r="A26" s="22"/>
      <c r="B26" s="26"/>
      <c r="C26" s="27" t="s">
        <v>24</v>
      </c>
      <c r="D26" s="28">
        <f>SUM(D10:D25)</f>
        <v>175403.44000000003</v>
      </c>
    </row>
  </sheetData>
  <mergeCells count="1">
    <mergeCell ref="B1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35"/>
  <sheetViews>
    <sheetView topLeftCell="A3" workbookViewId="0">
      <selection activeCell="E10" sqref="E10:E35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1.570312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94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SUM(C10:C41)</f>
        <v>21482.1</v>
      </c>
      <c r="D7" s="9">
        <f>SUM(D10:D41)</f>
        <v>21482.1</v>
      </c>
      <c r="E7" s="10">
        <f>SUM(E10:E41)</f>
        <v>0</v>
      </c>
    </row>
    <row r="9" spans="1:7" ht="15.75">
      <c r="A9" s="40" t="s">
        <v>0</v>
      </c>
      <c r="B9" s="40" t="s">
        <v>1</v>
      </c>
      <c r="C9" s="40" t="s">
        <v>2</v>
      </c>
      <c r="D9" s="40" t="s">
        <v>3</v>
      </c>
      <c r="E9" s="40" t="s">
        <v>4</v>
      </c>
    </row>
    <row r="10" spans="1:7">
      <c r="A10" s="22" t="s">
        <v>95</v>
      </c>
      <c r="B10" s="22" t="s">
        <v>96</v>
      </c>
      <c r="C10" s="24">
        <f>+'[3]DETAIL CA MOIS'!$C$30</f>
        <v>8852.1</v>
      </c>
      <c r="D10" s="24">
        <v>8852.1</v>
      </c>
      <c r="E10" s="35">
        <f>+C10-D10</f>
        <v>0</v>
      </c>
    </row>
    <row r="11" spans="1:7">
      <c r="A11" s="22" t="s">
        <v>124</v>
      </c>
      <c r="B11" s="22" t="s">
        <v>125</v>
      </c>
      <c r="C11" s="24">
        <f>+'[5]DETAIL CA MOIS'!$D$30</f>
        <v>5190</v>
      </c>
      <c r="D11" s="24">
        <v>5190</v>
      </c>
      <c r="E11" s="35">
        <f>+C11-D11</f>
        <v>0</v>
      </c>
    </row>
    <row r="12" spans="1:7">
      <c r="A12" s="22" t="s">
        <v>124</v>
      </c>
      <c r="B12" s="22" t="s">
        <v>126</v>
      </c>
      <c r="C12" s="24">
        <f>+'[5]DETAIL CA MOIS'!$D$26</f>
        <v>7440</v>
      </c>
      <c r="D12" s="24">
        <v>7440</v>
      </c>
      <c r="E12" s="35">
        <f t="shared" ref="E12:E31" si="0">+C12-D12</f>
        <v>0</v>
      </c>
    </row>
    <row r="13" spans="1:7">
      <c r="A13" s="22"/>
      <c r="B13" s="22"/>
      <c r="C13" s="24"/>
      <c r="D13" s="24"/>
      <c r="E13" s="35">
        <f t="shared" si="0"/>
        <v>0</v>
      </c>
    </row>
    <row r="14" spans="1:7">
      <c r="A14" s="22"/>
      <c r="B14" s="22"/>
      <c r="C14" s="23"/>
      <c r="D14" s="23"/>
      <c r="E14" s="35">
        <f t="shared" si="0"/>
        <v>0</v>
      </c>
    </row>
    <row r="15" spans="1:7">
      <c r="A15" s="22"/>
      <c r="B15" s="22"/>
      <c r="C15" s="23"/>
      <c r="D15" s="23"/>
      <c r="E15" s="35">
        <f t="shared" si="0"/>
        <v>0</v>
      </c>
    </row>
    <row r="16" spans="1:7">
      <c r="A16" s="22"/>
      <c r="B16" s="22"/>
      <c r="C16" s="23"/>
      <c r="D16" s="26"/>
      <c r="E16" s="35">
        <f t="shared" si="0"/>
        <v>0</v>
      </c>
    </row>
    <row r="17" spans="1:5">
      <c r="A17" s="22"/>
      <c r="B17" s="22"/>
      <c r="C17" s="23"/>
      <c r="D17" s="26"/>
      <c r="E17" s="35">
        <f t="shared" si="0"/>
        <v>0</v>
      </c>
    </row>
    <row r="18" spans="1:5">
      <c r="A18" s="22"/>
      <c r="B18" s="22"/>
      <c r="C18" s="38"/>
      <c r="D18" s="26"/>
      <c r="E18" s="35">
        <f t="shared" si="0"/>
        <v>0</v>
      </c>
    </row>
    <row r="19" spans="1:5">
      <c r="A19" s="22"/>
      <c r="B19" s="22"/>
      <c r="C19" s="23"/>
      <c r="D19" s="26"/>
      <c r="E19" s="35">
        <f t="shared" si="0"/>
        <v>0</v>
      </c>
    </row>
    <row r="20" spans="1:5">
      <c r="A20" s="22"/>
      <c r="B20" s="22"/>
      <c r="C20" s="23"/>
      <c r="D20" s="26"/>
      <c r="E20" s="35">
        <f t="shared" si="0"/>
        <v>0</v>
      </c>
    </row>
    <row r="21" spans="1:5">
      <c r="A21" s="22"/>
      <c r="B21" s="22"/>
      <c r="C21" s="23"/>
      <c r="D21" s="26"/>
      <c r="E21" s="35">
        <f t="shared" si="0"/>
        <v>0</v>
      </c>
    </row>
    <row r="22" spans="1:5">
      <c r="A22" s="22"/>
      <c r="B22" s="22"/>
      <c r="C22" s="23"/>
      <c r="D22" s="26"/>
      <c r="E22" s="35">
        <f t="shared" si="0"/>
        <v>0</v>
      </c>
    </row>
    <row r="23" spans="1:5">
      <c r="A23" s="22"/>
      <c r="B23" s="22"/>
      <c r="C23" s="24"/>
      <c r="D23" s="26"/>
      <c r="E23" s="35">
        <f t="shared" si="0"/>
        <v>0</v>
      </c>
    </row>
    <row r="24" spans="1:5">
      <c r="A24" s="22"/>
      <c r="B24" s="22"/>
      <c r="C24" s="24"/>
      <c r="D24" s="26"/>
      <c r="E24" s="35">
        <f t="shared" si="0"/>
        <v>0</v>
      </c>
    </row>
    <row r="25" spans="1:5">
      <c r="A25" s="22"/>
      <c r="B25" s="22"/>
      <c r="C25" s="24"/>
      <c r="D25" s="26"/>
      <c r="E25" s="35">
        <f t="shared" si="0"/>
        <v>0</v>
      </c>
    </row>
    <row r="26" spans="1:5">
      <c r="A26" s="22"/>
      <c r="B26" s="22"/>
      <c r="C26" s="24"/>
      <c r="D26" s="26"/>
      <c r="E26" s="35">
        <f t="shared" si="0"/>
        <v>0</v>
      </c>
    </row>
    <row r="27" spans="1:5">
      <c r="A27" s="22"/>
      <c r="B27" s="22"/>
      <c r="C27" s="24"/>
      <c r="D27" s="26"/>
      <c r="E27" s="35">
        <f t="shared" si="0"/>
        <v>0</v>
      </c>
    </row>
    <row r="28" spans="1:5">
      <c r="A28" s="22"/>
      <c r="B28" s="22"/>
      <c r="C28" s="24"/>
      <c r="D28" s="26"/>
      <c r="E28" s="35">
        <f t="shared" si="0"/>
        <v>0</v>
      </c>
    </row>
    <row r="29" spans="1:5">
      <c r="A29" s="22"/>
      <c r="B29" s="22"/>
      <c r="C29" s="24"/>
      <c r="D29" s="26"/>
      <c r="E29" s="35">
        <f t="shared" si="0"/>
        <v>0</v>
      </c>
    </row>
    <row r="30" spans="1:5">
      <c r="A30" s="22"/>
      <c r="B30" s="22"/>
      <c r="C30" s="24"/>
      <c r="D30" s="26"/>
      <c r="E30" s="35">
        <f t="shared" si="0"/>
        <v>0</v>
      </c>
    </row>
    <row r="31" spans="1:5">
      <c r="A31" s="26"/>
      <c r="B31" s="26"/>
      <c r="C31" s="26"/>
      <c r="D31" s="26"/>
      <c r="E31" s="35">
        <f t="shared" si="0"/>
        <v>0</v>
      </c>
    </row>
    <row r="32" spans="1:5">
      <c r="A32" s="26"/>
      <c r="B32" s="26"/>
      <c r="C32" s="26"/>
      <c r="D32" s="26"/>
      <c r="E32" s="37"/>
    </row>
    <row r="33" spans="1:5">
      <c r="A33" s="26"/>
      <c r="B33" s="26"/>
      <c r="C33" s="26"/>
      <c r="D33" s="26"/>
      <c r="E33" s="37"/>
    </row>
    <row r="34" spans="1:5">
      <c r="A34" s="26"/>
      <c r="B34" s="26"/>
      <c r="C34" s="26"/>
      <c r="D34" s="26"/>
      <c r="E34" s="37"/>
    </row>
    <row r="35" spans="1:5">
      <c r="A35" s="26"/>
      <c r="B35" s="26"/>
      <c r="C35" s="26"/>
      <c r="D35" s="26"/>
      <c r="E35" s="37"/>
    </row>
  </sheetData>
  <mergeCells count="2">
    <mergeCell ref="A1:G3"/>
    <mergeCell ref="C5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37"/>
  <sheetViews>
    <sheetView topLeftCell="A4" workbookViewId="0">
      <selection activeCell="J38" sqref="J38"/>
    </sheetView>
  </sheetViews>
  <sheetFormatPr baseColWidth="10" defaultRowHeight="15"/>
  <cols>
    <col min="1" max="1" width="21" bestFit="1" customWidth="1"/>
    <col min="2" max="2" width="25.7109375" customWidth="1"/>
    <col min="3" max="3" width="20.7109375" bestFit="1" customWidth="1"/>
    <col min="4" max="4" width="11.5703125" bestFit="1" customWidth="1"/>
    <col min="5" max="5" width="15.7109375" bestFit="1" customWidth="1"/>
  </cols>
  <sheetData>
    <row r="1" spans="1:7">
      <c r="A1" s="80" t="s">
        <v>7</v>
      </c>
      <c r="B1" s="80"/>
      <c r="C1" s="80"/>
      <c r="D1" s="80"/>
      <c r="E1" s="80"/>
      <c r="F1" s="80"/>
      <c r="G1" s="80"/>
    </row>
    <row r="2" spans="1:7">
      <c r="A2" s="80"/>
      <c r="B2" s="80"/>
      <c r="C2" s="80"/>
      <c r="D2" s="80"/>
      <c r="E2" s="80"/>
      <c r="F2" s="80"/>
      <c r="G2" s="80"/>
    </row>
    <row r="3" spans="1:7" ht="15.75" thickBot="1">
      <c r="A3" s="81"/>
      <c r="B3" s="81"/>
      <c r="C3" s="81"/>
      <c r="D3" s="81"/>
      <c r="E3" s="81"/>
      <c r="F3" s="81"/>
      <c r="G3" s="81"/>
    </row>
    <row r="5" spans="1:7" ht="15.75">
      <c r="A5" s="11" t="s">
        <v>189</v>
      </c>
      <c r="B5" s="4"/>
      <c r="C5" s="82" t="s">
        <v>8</v>
      </c>
      <c r="D5" s="82"/>
      <c r="E5" s="5"/>
    </row>
    <row r="6" spans="1:7" ht="15.75">
      <c r="A6" s="4"/>
      <c r="B6" s="4"/>
      <c r="C6" s="4"/>
      <c r="D6" s="4"/>
      <c r="E6" s="5"/>
    </row>
    <row r="7" spans="1:7" ht="23.25">
      <c r="A7" s="8" t="s">
        <v>24</v>
      </c>
      <c r="B7" s="7"/>
      <c r="C7" s="9">
        <f>SUM(C10:C39)</f>
        <v>37801.200000000004</v>
      </c>
      <c r="D7" s="9">
        <f>SUM(D10:D39)</f>
        <v>32890.800000000003</v>
      </c>
      <c r="E7" s="10">
        <f>SUM(E10:E39)</f>
        <v>4910.3999999999996</v>
      </c>
    </row>
    <row r="9" spans="1:7" ht="15.75">
      <c r="A9" s="40" t="s">
        <v>0</v>
      </c>
      <c r="B9" s="40" t="s">
        <v>1</v>
      </c>
      <c r="C9" s="40" t="s">
        <v>2</v>
      </c>
      <c r="D9" s="40" t="s">
        <v>3</v>
      </c>
      <c r="E9" s="40" t="s">
        <v>4</v>
      </c>
    </row>
    <row r="10" spans="1:7">
      <c r="A10" s="43" t="s">
        <v>129</v>
      </c>
      <c r="B10" s="43" t="s">
        <v>130</v>
      </c>
      <c r="C10" s="35">
        <f>+'[5]DETAIL CA MOIS'!$D$32</f>
        <v>4049.4</v>
      </c>
      <c r="D10" s="35">
        <v>4049.4</v>
      </c>
      <c r="E10" s="35">
        <f>+C10-D10</f>
        <v>0</v>
      </c>
    </row>
    <row r="11" spans="1:7">
      <c r="A11" s="43" t="s">
        <v>131</v>
      </c>
      <c r="B11" s="43" t="s">
        <v>132</v>
      </c>
      <c r="C11" s="35">
        <f>+'[5]DETAIL CA MOIS'!$D$34</f>
        <v>9795</v>
      </c>
      <c r="D11" s="35">
        <v>9795</v>
      </c>
      <c r="E11" s="36">
        <f>+C11-D11</f>
        <v>0</v>
      </c>
    </row>
    <row r="12" spans="1:7">
      <c r="A12" s="43" t="s">
        <v>137</v>
      </c>
      <c r="B12" s="43" t="s">
        <v>138</v>
      </c>
      <c r="C12" s="35">
        <v>1320</v>
      </c>
      <c r="D12" s="35">
        <v>1320</v>
      </c>
      <c r="E12" s="36">
        <f t="shared" ref="E12:E29" si="0">+C12-D12</f>
        <v>0</v>
      </c>
    </row>
    <row r="13" spans="1:7">
      <c r="A13" s="43" t="s">
        <v>155</v>
      </c>
      <c r="B13" s="43" t="s">
        <v>156</v>
      </c>
      <c r="C13" s="46">
        <f>+'[5]DETAIL CA MOIS'!$D$58</f>
        <v>6744</v>
      </c>
      <c r="D13" s="46">
        <v>6744</v>
      </c>
      <c r="E13" s="36">
        <f t="shared" si="0"/>
        <v>0</v>
      </c>
    </row>
    <row r="14" spans="1:7">
      <c r="A14" s="43" t="s">
        <v>168</v>
      </c>
      <c r="B14" s="43" t="s">
        <v>132</v>
      </c>
      <c r="C14" s="46">
        <v>2388</v>
      </c>
      <c r="D14" s="46">
        <v>2388</v>
      </c>
      <c r="E14" s="36">
        <f t="shared" si="0"/>
        <v>0</v>
      </c>
    </row>
    <row r="15" spans="1:7">
      <c r="A15" s="43" t="s">
        <v>137</v>
      </c>
      <c r="B15" s="43" t="s">
        <v>174</v>
      </c>
      <c r="C15" s="35">
        <v>1020</v>
      </c>
      <c r="D15" s="35">
        <v>1020</v>
      </c>
      <c r="E15" s="36">
        <f t="shared" si="0"/>
        <v>0</v>
      </c>
    </row>
    <row r="16" spans="1:7">
      <c r="A16" s="43" t="s">
        <v>131</v>
      </c>
      <c r="B16" s="43" t="s">
        <v>132</v>
      </c>
      <c r="C16" s="36">
        <v>960</v>
      </c>
      <c r="D16" s="35">
        <v>960</v>
      </c>
      <c r="E16" s="36">
        <f t="shared" si="0"/>
        <v>0</v>
      </c>
    </row>
    <row r="17" spans="1:5">
      <c r="A17" s="43" t="s">
        <v>155</v>
      </c>
      <c r="B17" s="43" t="s">
        <v>188</v>
      </c>
      <c r="C17" s="36">
        <v>924</v>
      </c>
      <c r="D17" s="35">
        <v>924</v>
      </c>
      <c r="E17" s="36">
        <f t="shared" si="0"/>
        <v>0</v>
      </c>
    </row>
    <row r="18" spans="1:5">
      <c r="A18" s="43" t="s">
        <v>155</v>
      </c>
      <c r="B18" s="43" t="s">
        <v>156</v>
      </c>
      <c r="C18" s="46">
        <v>1537.2</v>
      </c>
      <c r="D18" s="35">
        <v>1537.2</v>
      </c>
      <c r="E18" s="36">
        <f t="shared" si="0"/>
        <v>0</v>
      </c>
    </row>
    <row r="19" spans="1:5">
      <c r="A19" s="43" t="s">
        <v>137</v>
      </c>
      <c r="B19" s="64" t="s">
        <v>138</v>
      </c>
      <c r="C19" s="36">
        <v>1513.2</v>
      </c>
      <c r="D19" s="35">
        <v>1513.2</v>
      </c>
      <c r="E19" s="36">
        <f t="shared" si="0"/>
        <v>0</v>
      </c>
    </row>
    <row r="20" spans="1:5">
      <c r="A20" s="43" t="s">
        <v>149</v>
      </c>
      <c r="B20" s="43" t="s">
        <v>130</v>
      </c>
      <c r="C20" s="46">
        <v>2640</v>
      </c>
      <c r="D20" s="46">
        <v>2640</v>
      </c>
      <c r="E20" s="36">
        <f t="shared" si="0"/>
        <v>0</v>
      </c>
    </row>
    <row r="21" spans="1:5">
      <c r="A21" s="43" t="s">
        <v>149</v>
      </c>
      <c r="B21" s="43" t="s">
        <v>130</v>
      </c>
      <c r="C21" s="35">
        <v>1094.4000000000001</v>
      </c>
      <c r="D21" s="37"/>
      <c r="E21" s="36">
        <f t="shared" si="0"/>
        <v>1094.4000000000001</v>
      </c>
    </row>
    <row r="22" spans="1:5">
      <c r="A22" s="43" t="s">
        <v>155</v>
      </c>
      <c r="B22" s="43" t="s">
        <v>188</v>
      </c>
      <c r="C22" s="35">
        <v>1920</v>
      </c>
      <c r="D22" s="37"/>
      <c r="E22" s="36">
        <f t="shared" si="0"/>
        <v>1920</v>
      </c>
    </row>
    <row r="23" spans="1:5">
      <c r="A23" s="62" t="s">
        <v>149</v>
      </c>
      <c r="B23" s="62" t="s">
        <v>130</v>
      </c>
      <c r="C23" s="63">
        <v>1896</v>
      </c>
      <c r="D23" s="65"/>
      <c r="E23" s="63">
        <f t="shared" si="0"/>
        <v>1896</v>
      </c>
    </row>
    <row r="24" spans="1:5">
      <c r="A24" s="22"/>
      <c r="B24" s="22"/>
      <c r="C24" s="24"/>
      <c r="D24" s="26"/>
      <c r="E24" s="36">
        <f t="shared" si="0"/>
        <v>0</v>
      </c>
    </row>
    <row r="25" spans="1:5">
      <c r="A25" s="22"/>
      <c r="B25" s="22"/>
      <c r="C25" s="24"/>
      <c r="D25" s="26"/>
      <c r="E25" s="36">
        <f t="shared" si="0"/>
        <v>0</v>
      </c>
    </row>
    <row r="26" spans="1:5">
      <c r="A26" s="22"/>
      <c r="B26" s="22"/>
      <c r="C26" s="24"/>
      <c r="D26" s="26"/>
      <c r="E26" s="36">
        <f t="shared" si="0"/>
        <v>0</v>
      </c>
    </row>
    <row r="27" spans="1:5">
      <c r="A27" s="22"/>
      <c r="B27" s="22"/>
      <c r="C27" s="24"/>
      <c r="D27" s="26"/>
      <c r="E27" s="36">
        <f t="shared" si="0"/>
        <v>0</v>
      </c>
    </row>
    <row r="28" spans="1:5">
      <c r="A28" s="22"/>
      <c r="B28" s="22"/>
      <c r="C28" s="24"/>
      <c r="D28" s="26"/>
      <c r="E28" s="36">
        <f t="shared" si="0"/>
        <v>0</v>
      </c>
    </row>
    <row r="29" spans="1:5">
      <c r="A29" s="26"/>
      <c r="B29" s="26"/>
      <c r="C29" s="26"/>
      <c r="D29" s="26"/>
      <c r="E29" s="36">
        <f t="shared" si="0"/>
        <v>0</v>
      </c>
    </row>
    <row r="30" spans="1:5">
      <c r="A30" s="26"/>
      <c r="B30" s="26"/>
      <c r="C30" s="26"/>
      <c r="D30" s="26"/>
      <c r="E30" s="37"/>
    </row>
    <row r="31" spans="1:5">
      <c r="A31" s="26"/>
      <c r="B31" s="26"/>
      <c r="C31" s="26"/>
      <c r="D31" s="26"/>
      <c r="E31" s="37"/>
    </row>
    <row r="32" spans="1:5">
      <c r="A32" s="26"/>
      <c r="B32" s="26"/>
      <c r="C32" s="26"/>
      <c r="D32" s="26"/>
      <c r="E32" s="37"/>
    </row>
    <row r="33" spans="1:5">
      <c r="A33" s="26"/>
      <c r="B33" s="26"/>
      <c r="C33" s="26"/>
      <c r="D33" s="26"/>
      <c r="E33" s="37"/>
    </row>
    <row r="34" spans="1:5">
      <c r="A34" s="26"/>
      <c r="B34" s="26"/>
      <c r="C34" s="26"/>
      <c r="D34" s="26"/>
      <c r="E34" s="26"/>
    </row>
    <row r="35" spans="1:5">
      <c r="A35" s="26"/>
      <c r="B35" s="26"/>
      <c r="C35" s="26"/>
      <c r="D35" s="26"/>
      <c r="E35" s="26"/>
    </row>
    <row r="36" spans="1:5">
      <c r="A36" s="26"/>
      <c r="B36" s="26"/>
      <c r="C36" s="26"/>
      <c r="D36" s="26"/>
      <c r="E36" s="26"/>
    </row>
    <row r="37" spans="1:5">
      <c r="A37" s="26"/>
      <c r="B37" s="26"/>
      <c r="C37" s="26"/>
      <c r="D37" s="26"/>
      <c r="E37" s="26"/>
    </row>
  </sheetData>
  <mergeCells count="2">
    <mergeCell ref="A1:G3"/>
    <mergeCell ref="C5:D5"/>
  </mergeCells>
  <phoneticPr fontId="1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RELEVE DE SITUATION</vt:lpstr>
      <vt:lpstr>ISYA CAR</vt:lpstr>
      <vt:lpstr>REDA</vt:lpstr>
      <vt:lpstr>WILAYA</vt:lpstr>
      <vt:lpstr>RELEVE DE SITUATION WILAYA</vt:lpstr>
      <vt:lpstr>D P E Marrakech</vt:lpstr>
      <vt:lpstr>CR HARBIL</vt:lpstr>
      <vt:lpstr>RELEVE DE SITUATION HARBIL</vt:lpstr>
      <vt:lpstr>GMMO 3</vt:lpstr>
      <vt:lpstr>PC MARRAKECH</vt:lpstr>
      <vt:lpstr>RELEVE DE SITUATION PC MKH</vt:lpstr>
      <vt:lpstr>CU MARRAKECH</vt:lpstr>
      <vt:lpstr>AMEE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anas</cp:lastModifiedBy>
  <cp:lastPrinted>2026-04-08T10:11:39Z</cp:lastPrinted>
  <dcterms:created xsi:type="dcterms:W3CDTF">2025-03-18T13:14:55Z</dcterms:created>
  <dcterms:modified xsi:type="dcterms:W3CDTF">2026-04-29T11:46:15Z</dcterms:modified>
</cp:coreProperties>
</file>