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anas-PC\Monster garage\29-04-2026\"/>
    </mc:Choice>
  </mc:AlternateContent>
  <xr:revisionPtr revIDLastSave="0" documentId="13_ncr:1_{7BD71A95-928F-4C2B-891C-B22D9AD3EA2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nnexe 6 (3)" sheetId="56" r:id="rId1"/>
    <sheet name="Annexe 6 (2)" sheetId="37" r:id="rId2"/>
    <sheet name="Annexe 6 (1)" sheetId="1" r:id="rId3"/>
    <sheet name="Annexe 7" sheetId="2" r:id="rId4"/>
    <sheet name="Annexe 8" sheetId="14" r:id="rId5"/>
    <sheet name="Annexe 9" sheetId="15" r:id="rId6"/>
    <sheet name="Annexe 10" sheetId="16" r:id="rId7"/>
    <sheet name="Annexe 11" sheetId="18" r:id="rId8"/>
    <sheet name="Annexe 12" sheetId="19" r:id="rId9"/>
    <sheet name="Annexe 13 " sheetId="31" r:id="rId10"/>
    <sheet name="Annexe 14 " sheetId="33" r:id="rId11"/>
    <sheet name="Annexe 15" sheetId="32" r:id="rId12"/>
    <sheet name="Annexe 16 " sheetId="35" r:id="rId13"/>
    <sheet name="Annexe 17" sheetId="36" r:id="rId14"/>
    <sheet name="Annexe 18" sheetId="20" r:id="rId15"/>
    <sheet name="Annexe 19" sheetId="40" r:id="rId16"/>
    <sheet name="Annexe 20" sheetId="41" r:id="rId17"/>
    <sheet name="Annexe 21" sheetId="39" r:id="rId18"/>
    <sheet name="Annexe 22 " sheetId="42" r:id="rId19"/>
    <sheet name="Annexe 23" sheetId="44" r:id="rId20"/>
    <sheet name="Annexe 24" sheetId="46" r:id="rId21"/>
    <sheet name="Annexe 25" sheetId="43" r:id="rId22"/>
    <sheet name="Annexe 26" sheetId="45" r:id="rId23"/>
    <sheet name="Annexe  27" sheetId="48" r:id="rId24"/>
    <sheet name="Annexe 28" sheetId="49" r:id="rId25"/>
    <sheet name="Annexe 29" sheetId="50" r:id="rId26"/>
    <sheet name="Annexe 30" sheetId="47" r:id="rId27"/>
    <sheet name="Annexe 31" sheetId="52" r:id="rId28"/>
    <sheet name="Annexe 32" sheetId="53" r:id="rId29"/>
    <sheet name="Annexe 33" sheetId="55" r:id="rId30"/>
    <sheet name="Annexe 34" sheetId="54" r:id="rId31"/>
    <sheet name="Annexe 35" sheetId="51" r:id="rId32"/>
    <sheet name="Annexe 36" sheetId="38" r:id="rId33"/>
  </sheets>
  <definedNames>
    <definedName name="_xlnm.Print_Area" localSheetId="23">'Annexe  27'!$A$1:$G$54</definedName>
    <definedName name="_xlnm.Print_Area" localSheetId="6">'Annexe 10'!$A$1:$G$58</definedName>
    <definedName name="_xlnm.Print_Area" localSheetId="7">'Annexe 11'!$A$1:$G$58</definedName>
    <definedName name="_xlnm.Print_Area" localSheetId="8">'Annexe 12'!$A$1:$G$58</definedName>
    <definedName name="_xlnm.Print_Area" localSheetId="9">'Annexe 13 '!$A$1:$G$56</definedName>
    <definedName name="_xlnm.Print_Area" localSheetId="10">'Annexe 14 '!$A$1:$G$55</definedName>
    <definedName name="_xlnm.Print_Area" localSheetId="11">'Annexe 15'!$A$1:$G$58</definedName>
    <definedName name="_xlnm.Print_Area" localSheetId="12">'Annexe 16 '!$A$1:$G$55</definedName>
    <definedName name="_xlnm.Print_Area" localSheetId="13">'Annexe 17'!$A$1:$G$55</definedName>
    <definedName name="_xlnm.Print_Area" localSheetId="14">'Annexe 18'!$A$1:$G$56</definedName>
    <definedName name="_xlnm.Print_Area" localSheetId="15">'Annexe 19'!$A$1:$G$55</definedName>
    <definedName name="_xlnm.Print_Area" localSheetId="16">'Annexe 20'!$A$1:$G$54</definedName>
    <definedName name="_xlnm.Print_Area" localSheetId="17">'Annexe 21'!$A$1:$G$64</definedName>
    <definedName name="_xlnm.Print_Area" localSheetId="18">'Annexe 22 '!$A$1:$G$55</definedName>
    <definedName name="_xlnm.Print_Area" localSheetId="19">'Annexe 23'!$A$1:$G$54</definedName>
    <definedName name="_xlnm.Print_Area" localSheetId="20">'Annexe 24'!$A$1:$G$54</definedName>
    <definedName name="_xlnm.Print_Area" localSheetId="21">'Annexe 25'!$A$1:$G$53</definedName>
    <definedName name="_xlnm.Print_Area" localSheetId="22">'Annexe 26'!$A$1:$G$53</definedName>
    <definedName name="_xlnm.Print_Area" localSheetId="24">'Annexe 28'!$A$1:$G$55</definedName>
    <definedName name="_xlnm.Print_Area" localSheetId="25">'Annexe 29'!$A$1:$G$52</definedName>
    <definedName name="_xlnm.Print_Area" localSheetId="26">'Annexe 30'!$A$1:$G$52</definedName>
    <definedName name="_xlnm.Print_Area" localSheetId="27">'Annexe 31'!$A$1:$G$52</definedName>
    <definedName name="_xlnm.Print_Area" localSheetId="28">'Annexe 32'!$A$1:$G$52</definedName>
    <definedName name="_xlnm.Print_Area" localSheetId="29">'Annexe 33'!$A$1:$G$52</definedName>
    <definedName name="_xlnm.Print_Area" localSheetId="30">'Annexe 34'!$A$1:$G$58</definedName>
    <definedName name="_xlnm.Print_Area" localSheetId="31">'Annexe 35'!$A$1:$G$53</definedName>
    <definedName name="_xlnm.Print_Area" localSheetId="32">'Annexe 36'!$A$1:$G$53</definedName>
    <definedName name="_xlnm.Print_Area" localSheetId="2">'Annexe 6 (1)'!$A$1:$G$59</definedName>
    <definedName name="_xlnm.Print_Area" localSheetId="1">'Annexe 6 (2)'!$A$1:$G$60</definedName>
    <definedName name="_xlnm.Print_Area" localSheetId="0">'Annexe 6 (3)'!$A$1:$G$55</definedName>
    <definedName name="_xlnm.Print_Area" localSheetId="3">'Annexe 7'!$A$1:$G$58</definedName>
    <definedName name="_xlnm.Print_Area" localSheetId="4">'Annexe 8'!$A$1:$G$57</definedName>
    <definedName name="_xlnm.Print_Area" localSheetId="5">'Annexe 9'!$A$1:$G$58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56" l="1"/>
  <c r="E36" i="56"/>
  <c r="E35" i="56"/>
  <c r="E34" i="56"/>
  <c r="E33" i="56"/>
  <c r="E32" i="56"/>
  <c r="B37" i="56"/>
  <c r="B36" i="56"/>
  <c r="B35" i="56"/>
  <c r="B34" i="56"/>
  <c r="B33" i="56"/>
  <c r="B32" i="56"/>
  <c r="B40" i="37" l="1"/>
  <c r="B42" i="37"/>
  <c r="B41" i="37"/>
  <c r="B39" i="37"/>
  <c r="B38" i="37"/>
  <c r="B37" i="37"/>
  <c r="B36" i="37"/>
  <c r="B35" i="37"/>
  <c r="B34" i="37"/>
  <c r="B33" i="37"/>
  <c r="B32" i="37"/>
  <c r="E42" i="37"/>
  <c r="E41" i="37"/>
  <c r="E40" i="37"/>
  <c r="E39" i="37"/>
  <c r="E38" i="37"/>
  <c r="E37" i="37"/>
  <c r="E36" i="37"/>
  <c r="E34" i="37"/>
  <c r="E35" i="37"/>
  <c r="E33" i="37"/>
  <c r="E32" i="37"/>
  <c r="F37" i="56"/>
  <c r="C33" i="56"/>
  <c r="F32" i="56"/>
  <c r="C32" i="56"/>
  <c r="G36" i="38"/>
  <c r="F36" i="56" l="1"/>
  <c r="G36" i="56" s="1"/>
  <c r="G37" i="56"/>
  <c r="G32" i="56"/>
  <c r="F33" i="56"/>
  <c r="G33" i="56" s="1"/>
  <c r="F34" i="56"/>
  <c r="G34" i="56" s="1"/>
  <c r="F35" i="56"/>
  <c r="G35" i="56" s="1"/>
  <c r="G39" i="54"/>
  <c r="G38" i="54"/>
  <c r="G37" i="54"/>
  <c r="G36" i="54"/>
  <c r="F40" i="56" l="1"/>
  <c r="G36" i="49"/>
  <c r="G37" i="49"/>
  <c r="G33" i="55" l="1"/>
  <c r="G32" i="55"/>
  <c r="C27" i="55"/>
  <c r="C26" i="55"/>
  <c r="C25" i="55"/>
  <c r="C24" i="55"/>
  <c r="C23" i="55"/>
  <c r="C22" i="55"/>
  <c r="C21" i="55"/>
  <c r="C20" i="55"/>
  <c r="C19" i="55"/>
  <c r="G35" i="54"/>
  <c r="G34" i="54"/>
  <c r="G33" i="54"/>
  <c r="G32" i="54"/>
  <c r="C27" i="54"/>
  <c r="C26" i="54"/>
  <c r="C25" i="54"/>
  <c r="C24" i="54"/>
  <c r="C23" i="54"/>
  <c r="C22" i="54"/>
  <c r="C21" i="54"/>
  <c r="C20" i="54"/>
  <c r="C19" i="54"/>
  <c r="G33" i="53"/>
  <c r="G32" i="53"/>
  <c r="G36" i="53" s="1"/>
  <c r="G38" i="53" s="1"/>
  <c r="C27" i="53"/>
  <c r="C26" i="53"/>
  <c r="C25" i="53"/>
  <c r="C24" i="53"/>
  <c r="C23" i="53"/>
  <c r="C22" i="53"/>
  <c r="C21" i="53"/>
  <c r="C20" i="53"/>
  <c r="C19" i="53"/>
  <c r="G33" i="52"/>
  <c r="G32" i="52"/>
  <c r="C27" i="52"/>
  <c r="C26" i="52"/>
  <c r="C25" i="52"/>
  <c r="C24" i="52"/>
  <c r="C23" i="52"/>
  <c r="C22" i="52"/>
  <c r="C21" i="52"/>
  <c r="C20" i="52"/>
  <c r="C19" i="52"/>
  <c r="G34" i="51"/>
  <c r="G33" i="51"/>
  <c r="G32" i="51"/>
  <c r="C27" i="51"/>
  <c r="C26" i="51"/>
  <c r="C25" i="51"/>
  <c r="C24" i="51"/>
  <c r="C23" i="51"/>
  <c r="C22" i="51"/>
  <c r="C21" i="51"/>
  <c r="C20" i="51"/>
  <c r="C19" i="51"/>
  <c r="G33" i="50"/>
  <c r="G32" i="50"/>
  <c r="C27" i="50"/>
  <c r="C26" i="50"/>
  <c r="C25" i="50"/>
  <c r="C24" i="50"/>
  <c r="C23" i="50"/>
  <c r="C22" i="50"/>
  <c r="C21" i="50"/>
  <c r="C20" i="50"/>
  <c r="C19" i="50"/>
  <c r="G35" i="49"/>
  <c r="G34" i="49"/>
  <c r="G33" i="49"/>
  <c r="G32" i="49"/>
  <c r="C27" i="49"/>
  <c r="C26" i="49"/>
  <c r="C25" i="49"/>
  <c r="C24" i="49"/>
  <c r="C23" i="49"/>
  <c r="C22" i="49"/>
  <c r="C21" i="49"/>
  <c r="C20" i="49"/>
  <c r="C19" i="49"/>
  <c r="G35" i="48"/>
  <c r="G34" i="48"/>
  <c r="G33" i="48"/>
  <c r="G32" i="48"/>
  <c r="G38" i="48" s="1"/>
  <c r="G40" i="48" s="1"/>
  <c r="C27" i="48"/>
  <c r="C26" i="48"/>
  <c r="C25" i="48"/>
  <c r="C24" i="48"/>
  <c r="C23" i="48"/>
  <c r="C22" i="48"/>
  <c r="C21" i="48"/>
  <c r="C20" i="48"/>
  <c r="C19" i="48"/>
  <c r="G33" i="47"/>
  <c r="G32" i="47"/>
  <c r="C27" i="47"/>
  <c r="C26" i="47"/>
  <c r="C25" i="47"/>
  <c r="C24" i="47"/>
  <c r="C23" i="47"/>
  <c r="C22" i="47"/>
  <c r="C21" i="47"/>
  <c r="C20" i="47"/>
  <c r="C19" i="47"/>
  <c r="G35" i="38"/>
  <c r="G37" i="51" l="1"/>
  <c r="G39" i="51" s="1"/>
  <c r="G42" i="51" s="1"/>
  <c r="G43" i="51" s="1"/>
  <c r="G42" i="54"/>
  <c r="G44" i="54" s="1"/>
  <c r="G47" i="54" s="1"/>
  <c r="G48" i="54" s="1"/>
  <c r="G36" i="55"/>
  <c r="G38" i="55" s="1"/>
  <c r="G41" i="55" s="1"/>
  <c r="G42" i="55" s="1"/>
  <c r="G36" i="52"/>
  <c r="G38" i="52" s="1"/>
  <c r="G39" i="52" s="1"/>
  <c r="G40" i="52" s="1"/>
  <c r="G36" i="47"/>
  <c r="G38" i="47" s="1"/>
  <c r="G41" i="47" s="1"/>
  <c r="G42" i="47" s="1"/>
  <c r="G36" i="50"/>
  <c r="G38" i="50" s="1"/>
  <c r="G39" i="50" s="1"/>
  <c r="G40" i="50" s="1"/>
  <c r="G39" i="49"/>
  <c r="G41" i="49" s="1"/>
  <c r="G44" i="49" s="1"/>
  <c r="G45" i="49" s="1"/>
  <c r="G39" i="55"/>
  <c r="G40" i="55" s="1"/>
  <c r="G41" i="53"/>
  <c r="G42" i="53" s="1"/>
  <c r="G39" i="53"/>
  <c r="G40" i="53" s="1"/>
  <c r="G43" i="53" s="1"/>
  <c r="G41" i="52"/>
  <c r="G42" i="52" s="1"/>
  <c r="G43" i="48"/>
  <c r="G44" i="48" s="1"/>
  <c r="G41" i="48"/>
  <c r="G42" i="48" s="1"/>
  <c r="G45" i="48" s="1"/>
  <c r="G40" i="51" l="1"/>
  <c r="G41" i="51" s="1"/>
  <c r="G44" i="51" s="1"/>
  <c r="G45" i="54"/>
  <c r="G46" i="54" s="1"/>
  <c r="G49" i="54" s="1"/>
  <c r="G43" i="55"/>
  <c r="G43" i="52"/>
  <c r="G39" i="47"/>
  <c r="G40" i="47" s="1"/>
  <c r="G43" i="47" s="1"/>
  <c r="G41" i="50"/>
  <c r="G42" i="50" s="1"/>
  <c r="G42" i="49"/>
  <c r="G43" i="49" s="1"/>
  <c r="G46" i="49" s="1"/>
  <c r="G35" i="46"/>
  <c r="G43" i="50" l="1"/>
  <c r="G35" i="44"/>
  <c r="G36" i="44"/>
  <c r="G34" i="46" l="1"/>
  <c r="G33" i="46"/>
  <c r="G32" i="46"/>
  <c r="G38" i="46" s="1"/>
  <c r="G40" i="46" s="1"/>
  <c r="C27" i="46"/>
  <c r="C26" i="46"/>
  <c r="C25" i="46"/>
  <c r="C24" i="46"/>
  <c r="C23" i="46"/>
  <c r="C22" i="46"/>
  <c r="C21" i="46"/>
  <c r="C20" i="46"/>
  <c r="C19" i="46"/>
  <c r="G32" i="45"/>
  <c r="C27" i="45"/>
  <c r="C26" i="45"/>
  <c r="C25" i="45"/>
  <c r="C24" i="45"/>
  <c r="C23" i="45"/>
  <c r="C22" i="45"/>
  <c r="C21" i="45"/>
  <c r="C20" i="45"/>
  <c r="C19" i="45"/>
  <c r="G34" i="44"/>
  <c r="G33" i="44"/>
  <c r="G32" i="44"/>
  <c r="C27" i="44"/>
  <c r="C26" i="44"/>
  <c r="C25" i="44"/>
  <c r="C24" i="44"/>
  <c r="C23" i="44"/>
  <c r="C22" i="44"/>
  <c r="C21" i="44"/>
  <c r="C20" i="44"/>
  <c r="C19" i="44"/>
  <c r="G32" i="43"/>
  <c r="G37" i="43" s="1"/>
  <c r="G39" i="43" s="1"/>
  <c r="C27" i="43"/>
  <c r="C26" i="43"/>
  <c r="C25" i="43"/>
  <c r="C24" i="43"/>
  <c r="C23" i="43"/>
  <c r="C22" i="43"/>
  <c r="C21" i="43"/>
  <c r="C20" i="43"/>
  <c r="C19" i="43"/>
  <c r="G34" i="42"/>
  <c r="G33" i="42"/>
  <c r="G32" i="42"/>
  <c r="G39" i="42" s="1"/>
  <c r="G41" i="42" s="1"/>
  <c r="C27" i="42"/>
  <c r="C26" i="42"/>
  <c r="C25" i="42"/>
  <c r="C24" i="42"/>
  <c r="C23" i="42"/>
  <c r="C22" i="42"/>
  <c r="C21" i="42"/>
  <c r="C20" i="42"/>
  <c r="C19" i="42"/>
  <c r="G37" i="45" l="1"/>
  <c r="G39" i="45" s="1"/>
  <c r="G40" i="45" s="1"/>
  <c r="G41" i="45" s="1"/>
  <c r="G38" i="44"/>
  <c r="G40" i="44" s="1"/>
  <c r="G41" i="44" s="1"/>
  <c r="G42" i="44" s="1"/>
  <c r="G43" i="46"/>
  <c r="G44" i="46" s="1"/>
  <c r="G41" i="46"/>
  <c r="G42" i="46" s="1"/>
  <c r="G42" i="45"/>
  <c r="G43" i="45" s="1"/>
  <c r="G43" i="44"/>
  <c r="G44" i="44" s="1"/>
  <c r="G42" i="43"/>
  <c r="G43" i="43" s="1"/>
  <c r="G40" i="43"/>
  <c r="G41" i="43" s="1"/>
  <c r="G44" i="42"/>
  <c r="G45" i="42" s="1"/>
  <c r="G42" i="42"/>
  <c r="G43" i="42" s="1"/>
  <c r="G47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6" i="42" l="1"/>
  <c r="G44" i="45"/>
  <c r="G44" i="43"/>
  <c r="G45" i="46"/>
  <c r="G45" i="44"/>
  <c r="G35" i="41"/>
  <c r="G36" i="41"/>
  <c r="G37" i="41"/>
  <c r="G34" i="41" l="1"/>
  <c r="G33" i="41"/>
  <c r="G32" i="41"/>
  <c r="C27" i="41"/>
  <c r="C26" i="41"/>
  <c r="C25" i="41"/>
  <c r="C24" i="41"/>
  <c r="C23" i="41"/>
  <c r="C22" i="41"/>
  <c r="C21" i="41"/>
  <c r="C20" i="41"/>
  <c r="C19" i="41"/>
  <c r="G33" i="40"/>
  <c r="G32" i="40"/>
  <c r="C27" i="40"/>
  <c r="C26" i="40"/>
  <c r="C25" i="40"/>
  <c r="C24" i="40"/>
  <c r="C23" i="40"/>
  <c r="C22" i="40"/>
  <c r="C21" i="40"/>
  <c r="C20" i="40"/>
  <c r="C19" i="40"/>
  <c r="G32" i="39"/>
  <c r="C27" i="39"/>
  <c r="C26" i="39"/>
  <c r="C25" i="39"/>
  <c r="C24" i="39"/>
  <c r="C23" i="39"/>
  <c r="C22" i="39"/>
  <c r="C21" i="39"/>
  <c r="C20" i="39"/>
  <c r="C19" i="39"/>
  <c r="G34" i="38"/>
  <c r="G33" i="38"/>
  <c r="G32" i="38"/>
  <c r="C27" i="38"/>
  <c r="C26" i="38"/>
  <c r="C25" i="38"/>
  <c r="C24" i="38"/>
  <c r="C23" i="38"/>
  <c r="C22" i="38"/>
  <c r="C21" i="38"/>
  <c r="C20" i="38"/>
  <c r="C19" i="38"/>
  <c r="G37" i="38" l="1"/>
  <c r="G39" i="38" s="1"/>
  <c r="G42" i="38" s="1"/>
  <c r="G43" i="38" s="1"/>
  <c r="G48" i="39"/>
  <c r="G50" i="39" s="1"/>
  <c r="G51" i="39" s="1"/>
  <c r="G52" i="39" s="1"/>
  <c r="G38" i="41"/>
  <c r="G40" i="41" s="1"/>
  <c r="G41" i="41" s="1"/>
  <c r="G42" i="41" s="1"/>
  <c r="G39" i="40"/>
  <c r="G41" i="40" s="1"/>
  <c r="G44" i="40" s="1"/>
  <c r="G45" i="40" s="1"/>
  <c r="G43" i="41" l="1"/>
  <c r="G44" i="41" s="1"/>
  <c r="G40" i="38"/>
  <c r="G41" i="38" s="1"/>
  <c r="G44" i="38" s="1"/>
  <c r="G53" i="39"/>
  <c r="G54" i="39" s="1"/>
  <c r="G45" i="41"/>
  <c r="G42" i="40"/>
  <c r="G43" i="40" s="1"/>
  <c r="G46" i="40" s="1"/>
  <c r="C33" i="37"/>
  <c r="C32" i="37"/>
  <c r="G55" i="39" l="1"/>
  <c r="B41" i="1"/>
  <c r="B40" i="1"/>
  <c r="B39" i="1"/>
  <c r="B38" i="1"/>
  <c r="B37" i="1"/>
  <c r="B36" i="1"/>
  <c r="B35" i="1"/>
  <c r="B34" i="1"/>
  <c r="B33" i="1"/>
  <c r="G33" i="36" l="1"/>
  <c r="G32" i="36"/>
  <c r="C27" i="36"/>
  <c r="C26" i="36"/>
  <c r="C25" i="36"/>
  <c r="C24" i="36"/>
  <c r="C23" i="36"/>
  <c r="C22" i="36"/>
  <c r="C21" i="36"/>
  <c r="C20" i="36"/>
  <c r="C19" i="36"/>
  <c r="G33" i="35"/>
  <c r="G32" i="35"/>
  <c r="G39" i="35" s="1"/>
  <c r="G41" i="35" s="1"/>
  <c r="C27" i="35"/>
  <c r="C26" i="35"/>
  <c r="C25" i="35"/>
  <c r="C24" i="35"/>
  <c r="C23" i="35"/>
  <c r="C22" i="35"/>
  <c r="C21" i="35"/>
  <c r="C20" i="35"/>
  <c r="C19" i="35"/>
  <c r="G40" i="32"/>
  <c r="G39" i="32"/>
  <c r="G38" i="32"/>
  <c r="G39" i="36" l="1"/>
  <c r="G41" i="36" s="1"/>
  <c r="G44" i="36" s="1"/>
  <c r="G45" i="36" s="1"/>
  <c r="G44" i="35"/>
  <c r="G45" i="35" s="1"/>
  <c r="G42" i="35"/>
  <c r="G43" i="35" s="1"/>
  <c r="E40" i="1" l="1"/>
  <c r="F40" i="1" s="1"/>
  <c r="G40" i="1" s="1"/>
  <c r="G42" i="36"/>
  <c r="G43" i="36" s="1"/>
  <c r="G46" i="35"/>
  <c r="G46" i="36" l="1"/>
  <c r="E41" i="1"/>
  <c r="F41" i="37"/>
  <c r="G41" i="37" s="1"/>
  <c r="G33" i="33"/>
  <c r="G32" i="33"/>
  <c r="C27" i="33"/>
  <c r="C26" i="33"/>
  <c r="C25" i="33"/>
  <c r="C24" i="33"/>
  <c r="C23" i="33"/>
  <c r="C22" i="33"/>
  <c r="C21" i="33"/>
  <c r="C20" i="33"/>
  <c r="C19" i="33"/>
  <c r="G37" i="32"/>
  <c r="G36" i="32"/>
  <c r="G35" i="32"/>
  <c r="G34" i="32"/>
  <c r="G33" i="32"/>
  <c r="G32" i="32"/>
  <c r="C27" i="32"/>
  <c r="C26" i="32"/>
  <c r="C25" i="32"/>
  <c r="C24" i="32"/>
  <c r="C23" i="32"/>
  <c r="C22" i="32"/>
  <c r="C21" i="32"/>
  <c r="C20" i="32"/>
  <c r="C19" i="32"/>
  <c r="F41" i="1" l="1"/>
  <c r="G41" i="1" s="1"/>
  <c r="G42" i="32"/>
  <c r="G44" i="32" s="1"/>
  <c r="G47" i="32" s="1"/>
  <c r="G48" i="32" s="1"/>
  <c r="F42" i="37"/>
  <c r="G42" i="37" s="1"/>
  <c r="G39" i="33"/>
  <c r="G41" i="33" s="1"/>
  <c r="G44" i="33" s="1"/>
  <c r="G45" i="33" s="1"/>
  <c r="G45" i="32"/>
  <c r="G46" i="32" s="1"/>
  <c r="E39" i="1" l="1"/>
  <c r="G49" i="32"/>
  <c r="G42" i="33"/>
  <c r="G43" i="33" s="1"/>
  <c r="F39" i="1" l="1"/>
  <c r="G39" i="1" s="1"/>
  <c r="G46" i="33"/>
  <c r="E38" i="1"/>
  <c r="F40" i="37"/>
  <c r="G40" i="37" s="1"/>
  <c r="G35" i="19"/>
  <c r="G36" i="19"/>
  <c r="G37" i="19"/>
  <c r="F38" i="1" l="1"/>
  <c r="G38" i="1" s="1"/>
  <c r="F39" i="37"/>
  <c r="G39" i="37" s="1"/>
  <c r="G34" i="31"/>
  <c r="G33" i="31"/>
  <c r="G32" i="31"/>
  <c r="C27" i="31"/>
  <c r="C26" i="31"/>
  <c r="C25" i="31"/>
  <c r="C24" i="31"/>
  <c r="C23" i="31"/>
  <c r="C22" i="31"/>
  <c r="C21" i="31"/>
  <c r="C20" i="31"/>
  <c r="C19" i="31"/>
  <c r="G40" i="31" l="1"/>
  <c r="G42" i="31" s="1"/>
  <c r="G45" i="31" s="1"/>
  <c r="G46" i="31" s="1"/>
  <c r="G34" i="2"/>
  <c r="G43" i="31" l="1"/>
  <c r="G44" i="31" s="1"/>
  <c r="C33" i="1"/>
  <c r="C32" i="1"/>
  <c r="B32" i="1"/>
  <c r="G47" i="31" l="1"/>
  <c r="E37" i="1"/>
  <c r="G34" i="20"/>
  <c r="G33" i="20"/>
  <c r="G32" i="20"/>
  <c r="C27" i="20"/>
  <c r="C26" i="20"/>
  <c r="C25" i="20"/>
  <c r="C24" i="20"/>
  <c r="C23" i="20"/>
  <c r="C22" i="20"/>
  <c r="C21" i="20"/>
  <c r="C20" i="20"/>
  <c r="C19" i="20"/>
  <c r="F37" i="1" l="1"/>
  <c r="G37" i="1"/>
  <c r="F38" i="37"/>
  <c r="G38" i="37" s="1"/>
  <c r="G40" i="20"/>
  <c r="G42" i="20" s="1"/>
  <c r="G45" i="20" s="1"/>
  <c r="G46" i="20" s="1"/>
  <c r="G43" i="20" l="1"/>
  <c r="G44" i="20" s="1"/>
  <c r="G47" i="20" s="1"/>
  <c r="G34" i="19" l="1"/>
  <c r="G33" i="19"/>
  <c r="G32" i="19"/>
  <c r="C27" i="19"/>
  <c r="C26" i="19"/>
  <c r="C25" i="19"/>
  <c r="C24" i="19"/>
  <c r="C23" i="19"/>
  <c r="C22" i="19"/>
  <c r="C21" i="19"/>
  <c r="C20" i="19"/>
  <c r="C19" i="19"/>
  <c r="G42" i="19" l="1"/>
  <c r="G44" i="19" s="1"/>
  <c r="G45" i="19" s="1"/>
  <c r="G46" i="19" s="1"/>
  <c r="E36" i="1" l="1"/>
  <c r="G47" i="19"/>
  <c r="G48" i="19" s="1"/>
  <c r="F37" i="37" l="1"/>
  <c r="G37" i="37" s="1"/>
  <c r="F36" i="1"/>
  <c r="G36" i="1" s="1"/>
  <c r="G49" i="19"/>
  <c r="G33" i="18" l="1"/>
  <c r="G32" i="18"/>
  <c r="C27" i="18"/>
  <c r="C26" i="18"/>
  <c r="C25" i="18"/>
  <c r="C24" i="18"/>
  <c r="C23" i="18"/>
  <c r="C22" i="18"/>
  <c r="C21" i="18"/>
  <c r="C20" i="18"/>
  <c r="C19" i="18"/>
  <c r="G42" i="18" l="1"/>
  <c r="G44" i="18" s="1"/>
  <c r="G45" i="18" s="1"/>
  <c r="G46" i="18" s="1"/>
  <c r="E35" i="1" l="1"/>
  <c r="G47" i="18"/>
  <c r="G48" i="18" s="1"/>
  <c r="F35" i="1" l="1"/>
  <c r="G35" i="1" s="1"/>
  <c r="F36" i="37"/>
  <c r="G36" i="37" s="1"/>
  <c r="G49" i="18"/>
  <c r="G38" i="16"/>
  <c r="G37" i="16"/>
  <c r="G41" i="15"/>
  <c r="G40" i="15"/>
  <c r="G39" i="15"/>
  <c r="G38" i="15"/>
  <c r="G35" i="15" l="1"/>
  <c r="G36" i="15"/>
  <c r="G37" i="15"/>
  <c r="G35" i="16"/>
  <c r="G36" i="16"/>
  <c r="G34" i="16"/>
  <c r="G33" i="16"/>
  <c r="G32" i="16"/>
  <c r="C27" i="16"/>
  <c r="C26" i="16"/>
  <c r="C25" i="16"/>
  <c r="C24" i="16"/>
  <c r="C23" i="16"/>
  <c r="C22" i="16"/>
  <c r="C21" i="16"/>
  <c r="C20" i="16"/>
  <c r="C19" i="16"/>
  <c r="G42" i="16" l="1"/>
  <c r="G44" i="16" s="1"/>
  <c r="G47" i="16" s="1"/>
  <c r="G48" i="16" s="1"/>
  <c r="G45" i="16" l="1"/>
  <c r="G46" i="16" s="1"/>
  <c r="E34" i="1" l="1"/>
  <c r="G49" i="16"/>
  <c r="F34" i="1" l="1"/>
  <c r="G34" i="1"/>
  <c r="F35" i="37"/>
  <c r="G35" i="37" s="1"/>
  <c r="G34" i="15"/>
  <c r="G33" i="15"/>
  <c r="G32" i="15"/>
  <c r="C27" i="15"/>
  <c r="C26" i="15"/>
  <c r="C25" i="15"/>
  <c r="C24" i="15"/>
  <c r="C23" i="15"/>
  <c r="C22" i="15"/>
  <c r="C21" i="15"/>
  <c r="C20" i="15"/>
  <c r="C19" i="15"/>
  <c r="G35" i="14"/>
  <c r="G34" i="14"/>
  <c r="G33" i="14"/>
  <c r="G32" i="14"/>
  <c r="C27" i="14"/>
  <c r="C26" i="14"/>
  <c r="C25" i="14"/>
  <c r="C24" i="14"/>
  <c r="C23" i="14"/>
  <c r="C22" i="14"/>
  <c r="C21" i="14"/>
  <c r="C20" i="14"/>
  <c r="C19" i="14"/>
  <c r="G35" i="2"/>
  <c r="G42" i="15" l="1"/>
  <c r="G44" i="15" s="1"/>
  <c r="G45" i="15" s="1"/>
  <c r="G46" i="15" s="1"/>
  <c r="G41" i="14"/>
  <c r="G43" i="14" s="1"/>
  <c r="G44" i="14" s="1"/>
  <c r="G45" i="14" s="1"/>
  <c r="E33" i="1" l="1"/>
  <c r="G47" i="15"/>
  <c r="G48" i="15" s="1"/>
  <c r="G49" i="15" s="1"/>
  <c r="G46" i="14"/>
  <c r="G47" i="14" s="1"/>
  <c r="G33" i="2"/>
  <c r="C20" i="2"/>
  <c r="C21" i="2"/>
  <c r="C22" i="2"/>
  <c r="C23" i="2"/>
  <c r="C24" i="2"/>
  <c r="C25" i="2"/>
  <c r="C26" i="2"/>
  <c r="C27" i="2"/>
  <c r="C19" i="2"/>
  <c r="F33" i="1" l="1"/>
  <c r="G33" i="1" s="1"/>
  <c r="F34" i="37"/>
  <c r="G34" i="37" s="1"/>
  <c r="F33" i="37"/>
  <c r="G33" i="37" s="1"/>
  <c r="G48" i="14"/>
  <c r="G32" i="2"/>
  <c r="G42" i="2" l="1"/>
  <c r="G44" i="2" s="1"/>
  <c r="G47" i="2" s="1"/>
  <c r="G48" i="2" l="1"/>
  <c r="G45" i="2"/>
  <c r="G46" i="2" s="1"/>
  <c r="E32" i="1" l="1"/>
  <c r="G49" i="2"/>
  <c r="F32" i="1" l="1"/>
  <c r="F44" i="1" s="1"/>
  <c r="F32" i="37"/>
  <c r="F45" i="37" s="1"/>
  <c r="E45" i="37"/>
  <c r="G32" i="37" l="1"/>
  <c r="G45" i="37" s="1"/>
  <c r="G32" i="1"/>
</calcChain>
</file>

<file path=xl/sharedStrings.xml><?xml version="1.0" encoding="utf-8"?>
<sst xmlns="http://schemas.openxmlformats.org/spreadsheetml/2006/main" count="1686" uniqueCount="258">
  <si>
    <t>Partenaire</t>
  </si>
  <si>
    <t>N° Agrément SNTL</t>
  </si>
  <si>
    <t>Raison Sociale</t>
  </si>
  <si>
    <t>Adresse</t>
  </si>
  <si>
    <t>Ville</t>
  </si>
  <si>
    <t>RC</t>
  </si>
  <si>
    <t>Patente</t>
  </si>
  <si>
    <t>IF</t>
  </si>
  <si>
    <t>ICE</t>
  </si>
  <si>
    <t>N° RIB</t>
  </si>
  <si>
    <t>N° Facture</t>
  </si>
  <si>
    <t>Date facture</t>
  </si>
  <si>
    <t>Montant TTC</t>
  </si>
  <si>
    <t>Commission SNTL</t>
  </si>
  <si>
    <t>Montant à régler</t>
  </si>
  <si>
    <t>N° Bon SNTL</t>
  </si>
  <si>
    <t>Total</t>
  </si>
  <si>
    <t>Cachet et Signature</t>
  </si>
  <si>
    <t>Marrakech</t>
  </si>
  <si>
    <t>Relevé des Factures</t>
  </si>
  <si>
    <t>Date:</t>
  </si>
  <si>
    <t>A</t>
  </si>
  <si>
    <t>La Société Nationale des Transports et de la Logistique (SNTL)</t>
  </si>
  <si>
    <t>Facture N°</t>
  </si>
  <si>
    <t>Véhicule</t>
  </si>
  <si>
    <t>Matricule</t>
  </si>
  <si>
    <t>Marque et modèle</t>
  </si>
  <si>
    <t>Kilométrage</t>
  </si>
  <si>
    <t>Administration</t>
  </si>
  <si>
    <t>N° de bon</t>
  </si>
  <si>
    <t>N° Accord SNTL</t>
  </si>
  <si>
    <t>Date facture:</t>
  </si>
  <si>
    <t>Référence article</t>
  </si>
  <si>
    <t>Désignation Article</t>
  </si>
  <si>
    <t>Quantité</t>
  </si>
  <si>
    <t>PU HT</t>
  </si>
  <si>
    <t>Total HT</t>
  </si>
  <si>
    <t>Montant Total article HT</t>
  </si>
  <si>
    <t>Montant Total article HT (1)</t>
  </si>
  <si>
    <t>TVA 20% (2)</t>
  </si>
  <si>
    <t>Montant Total TTC (1+2) (3)</t>
  </si>
  <si>
    <t>Commission SNTL (1x10%) (4)</t>
  </si>
  <si>
    <t>TVA 20% sur la comission (4x20%) (5)</t>
  </si>
  <si>
    <t>Montant Net à régler (3-4-5)</t>
  </si>
  <si>
    <t>Cachet et signature</t>
  </si>
  <si>
    <t>Main d'œuvre*</t>
  </si>
  <si>
    <t>* Non valable pour les bons ateliers ''A"</t>
  </si>
  <si>
    <t>WIDINE MOTORS SERVICES</t>
  </si>
  <si>
    <t>N°534 BIS 2 Q.I Sidi Ghanem</t>
  </si>
  <si>
    <t>003524622000063</t>
  </si>
  <si>
    <t>007450000612500000095129</t>
  </si>
  <si>
    <t>MONSTER GARAGE</t>
  </si>
  <si>
    <t>REF - N001</t>
  </si>
  <si>
    <t>REF - N002</t>
  </si>
  <si>
    <t>COMMUNE HARBIL</t>
  </si>
  <si>
    <t>REF - N003</t>
  </si>
  <si>
    <t>REF - N004</t>
  </si>
  <si>
    <t>FILTRE A HUILE</t>
  </si>
  <si>
    <t>FILTRE A AIR</t>
  </si>
  <si>
    <t>FILTRE A GASOIL</t>
  </si>
  <si>
    <t>FORD TRANSIT</t>
  </si>
  <si>
    <t>PLAQUETTE DE FREIN AVANT</t>
  </si>
  <si>
    <t>REF - N005</t>
  </si>
  <si>
    <t>REF - N006</t>
  </si>
  <si>
    <t>REF - N007</t>
  </si>
  <si>
    <t>REF - N008</t>
  </si>
  <si>
    <t>HUILE DE FREIN</t>
  </si>
  <si>
    <t>HUILE BOITE DE VITESSE</t>
  </si>
  <si>
    <t>REF - N009</t>
  </si>
  <si>
    <t>RENAULT MASTER</t>
  </si>
  <si>
    <t>TOUR</t>
  </si>
  <si>
    <t>JCB ZX428 CHARGEUR</t>
  </si>
  <si>
    <t>REF - N011</t>
  </si>
  <si>
    <t>MONT / DEMONT PORTE FUSEE AVANT</t>
  </si>
  <si>
    <t>MONT / DEMONT CARDAN</t>
  </si>
  <si>
    <t>260126000007</t>
  </si>
  <si>
    <t>260126000024</t>
  </si>
  <si>
    <t>PLAQUETTE DE FREIN ARRIERE</t>
  </si>
  <si>
    <t>SOUFFLET CARDAN</t>
  </si>
  <si>
    <t>TEMOIN PLAQUETTE</t>
  </si>
  <si>
    <r>
      <t xml:space="preserve">Arrêté la présente facture à la somme de </t>
    </r>
    <r>
      <rPr>
        <b/>
        <sz val="12"/>
        <color theme="1"/>
        <rFont val="Aptos Narrow"/>
        <family val="2"/>
        <scheme val="minor"/>
      </rPr>
      <t>Deux mille six cent cinquante huit dirhams et soixante centimes TTC</t>
    </r>
  </si>
  <si>
    <t>ROULEMENT MOYEU ARRIERE</t>
  </si>
  <si>
    <t>MOYEU DE ROUE ARD</t>
  </si>
  <si>
    <t>MONT / DEMONT PORTE FUSEE ARRIERE</t>
  </si>
  <si>
    <t>REPARATION EMBRAYAGE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</si>
  <si>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>Huit mille neuf cent quarante six dirhams TTC</t>
    </r>
  </si>
  <si>
    <t>HUILE 5W30</t>
  </si>
  <si>
    <t>FILTRE A POLLEN</t>
  </si>
  <si>
    <t>GLACE RETROVISEUR GAUCHE</t>
  </si>
  <si>
    <t>AMPOULE DE FREIN</t>
  </si>
  <si>
    <t>AMPOULE DE MARCHE ARRIERE</t>
  </si>
  <si>
    <t>AMPOULE FEU ANTIBROUILLARD GAUCHE</t>
  </si>
  <si>
    <t>REPARATION MANNOT FREIN</t>
  </si>
  <si>
    <t>207790 - J</t>
  </si>
  <si>
    <t>HYUNDAI ACCENT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</si>
  <si>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 xml:space="preserve">Trois mille trois cent soixante dix neuf </t>
    </r>
    <r>
      <rPr>
        <b/>
        <sz val="12"/>
        <color theme="1"/>
        <rFont val="Aptos Narrow"/>
        <family val="2"/>
        <scheme val="minor"/>
      </rPr>
      <t>dirhams et cinquante centimes TTC</t>
    </r>
  </si>
  <si>
    <t xml:space="preserve">FORD TRANSIT </t>
  </si>
  <si>
    <t>CARDAN</t>
  </si>
  <si>
    <t>DEGRIPPANT</t>
  </si>
  <si>
    <t>PARRALLELISME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</si>
  <si>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>Treize mille six cent huit dirhams TTC</t>
    </r>
  </si>
  <si>
    <t>PORTE SABOT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</si>
  <si>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>Treize mille dix neuf dirhams et quarante centimes TTC</t>
    </r>
  </si>
  <si>
    <t>ROULEMENT AVANT GAUCHE</t>
  </si>
  <si>
    <t>MOYEU DE ROUE AVG</t>
  </si>
  <si>
    <t>MONT / DEMONT PORTE FUSEE AVG</t>
  </si>
  <si>
    <t>MONT / DEMONT MOYEU DE ROUE AVG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</si>
  <si>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>Six mille neuf cent cinquante sept dirhams TTC</t>
    </r>
  </si>
  <si>
    <t>KIT FLASHER AVANT</t>
  </si>
  <si>
    <t>REPARATION CIRCUIT ELECTRIQUE</t>
  </si>
  <si>
    <t>MONT / DEMONT TABLEAU DE BORD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</si>
  <si>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Deux mille sept cent seize dirhams et vingt centimes TTC</t>
    </r>
  </si>
  <si>
    <t>GLACE RETROVISEUR DROITE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</si>
  <si>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>Neuf cent soixante neuf dirhams et trente centimes TTC</t>
    </r>
  </si>
  <si>
    <t>CAPTEUR D'USURE AVANT</t>
  </si>
  <si>
    <t>CAPTEUR D'USURE ARRIERE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</si>
  <si>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Dix sept mille six cent cinquante quatre dirhams et quarante centimes TTC</t>
    </r>
  </si>
  <si>
    <t>MITSUBISHI PAJERO</t>
  </si>
  <si>
    <t>KIT AMPOULE LED</t>
  </si>
  <si>
    <t>MONT / DEMONT PARE CHOC AVANT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</si>
  <si>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Deux mille cinquante deux dirhams  TTC</t>
    </r>
  </si>
  <si>
    <t>MITSUBISHI FUSO</t>
  </si>
  <si>
    <t>BATTERIE L3 VARTA SILVER</t>
  </si>
  <si>
    <t>BATTERIE L5 VARTA SILVER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</si>
  <si>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Neuf mille six cent soixante six dirhams TTC</t>
    </r>
  </si>
  <si>
    <t>MONT / DEMONT PLAFOND ARRIERE</t>
  </si>
  <si>
    <t>MONT / DEMONT GARNITURE PORTE COULISSANTE</t>
  </si>
  <si>
    <t>REPARATION COURT - CIRCUIT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</si>
  <si>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Deux mille cinquante deux dirhams TTC</t>
    </r>
  </si>
  <si>
    <t>HYUNDAI HD65</t>
  </si>
  <si>
    <t>MONT / DEMONT COMBINE INSTRUMENTS</t>
  </si>
  <si>
    <t>REPARATION COMBINE INSTRUMENTS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</si>
  <si>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Mille sept cent vingt huit dirhams TTC</t>
    </r>
  </si>
  <si>
    <t>SILENT BLOCK AVANT</t>
  </si>
  <si>
    <t>ROTULES AVANT</t>
  </si>
  <si>
    <t>MONT / DEMONT TRAIN AVANT</t>
  </si>
  <si>
    <t>KIT EMBRAYAGE</t>
  </si>
  <si>
    <t>REPARATION SERRURES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</si>
  <si>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Dix sept mille huit cent huit dirhams et trente centimes TTC</t>
    </r>
  </si>
  <si>
    <t>HUILE MOTEUR 5W30</t>
  </si>
  <si>
    <t>REPARATION FEUX TOURNANTS</t>
  </si>
  <si>
    <t>PLAQUETTES DE FREIN AVANT</t>
  </si>
  <si>
    <t>BIELETTE DE SUSPENSION G-D</t>
  </si>
  <si>
    <t>ROTULE DROITE</t>
  </si>
  <si>
    <t>REPARATION OPTIQUES AVANT</t>
  </si>
  <si>
    <t>EAU LAVE GLACE</t>
  </si>
  <si>
    <t>EAU ANTIGEL</t>
  </si>
  <si>
    <t>SILENT BLOCK GAUCHE</t>
  </si>
  <si>
    <t>MONT / DEMONT FUSEE AVANT DROIT</t>
  </si>
  <si>
    <t>COUSSINET DE BARRE DE SUSPENSION</t>
  </si>
  <si>
    <t>LAVAGE EXTERIEUR + MOTEUR</t>
  </si>
  <si>
    <t>REF - N012</t>
  </si>
  <si>
    <t>REF - N013</t>
  </si>
  <si>
    <t>REF - N014</t>
  </si>
  <si>
    <t>REF - N015</t>
  </si>
  <si>
    <t>REF - N016</t>
  </si>
  <si>
    <t>REF - N017</t>
  </si>
  <si>
    <t>REF - N018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</si>
  <si>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Dix mille neuf cent quatre vingt treize dirhams et quatre vingt quatorze centimes TTC</t>
    </r>
  </si>
  <si>
    <t>MITSUBISHI PAJERO SP</t>
  </si>
  <si>
    <t>BUTIL</t>
  </si>
  <si>
    <t>DURITE TURBO SUPERIEURE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</si>
  <si>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Quatorze mille cinq cent soixante trois dirhams et quarante deux centimes TTC</t>
    </r>
  </si>
  <si>
    <t>FORD TRANSIT AMB</t>
  </si>
  <si>
    <t>AMPOULES</t>
  </si>
  <si>
    <t>REPARATION COURT CIRCUIT FEU ARR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</si>
  <si>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Trois mille sept cent soixante douze dirhams et quatre vingt centimes TTC</t>
    </r>
  </si>
  <si>
    <t>202955 - J</t>
  </si>
  <si>
    <t>HYUNDAI I40</t>
  </si>
  <si>
    <r>
      <t>Arrêté la présente facture à la somme de T</t>
    </r>
    <r>
      <rPr>
        <b/>
        <sz val="12"/>
        <color theme="1"/>
        <rFont val="Aptos Narrow"/>
        <scheme val="minor"/>
      </rPr>
      <t>rois mille cent dix dirhams et quarante centimes TTC</t>
    </r>
  </si>
  <si>
    <t>217690 - J</t>
  </si>
  <si>
    <t>RENAULT KANGOO</t>
  </si>
  <si>
    <t>BATTERIE L3 - VARTA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</si>
  <si>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Mille quatre cent quarante neuf dirhams  TTC</t>
    </r>
  </si>
  <si>
    <t>AMPOULES LED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</si>
  <si>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Mille neuf cent quarante quatre dirhams  TTC</t>
    </r>
  </si>
  <si>
    <t>HUILE MOTEUR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</si>
  <si>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Trois mille cinq cent soixante dirhams et quarante  centimes TTC</t>
    </r>
  </si>
  <si>
    <t>DACIA DUSTER</t>
  </si>
  <si>
    <t>AMOURTISSEURS AVANT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</si>
  <si>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 xml:space="preserve">Huit mille neuf cent quarante huit dirhams et quatre vingt huit centimes </t>
    </r>
    <r>
      <rPr>
        <b/>
        <sz val="12"/>
        <color theme="1"/>
        <rFont val="Aptos Narrow"/>
        <family val="2"/>
        <scheme val="minor"/>
      </rPr>
      <t>TTC</t>
    </r>
  </si>
  <si>
    <t>260429000020</t>
  </si>
  <si>
    <t>260429000021</t>
  </si>
  <si>
    <t>260429000023</t>
  </si>
  <si>
    <t>260429000043</t>
  </si>
  <si>
    <t>260429000026</t>
  </si>
  <si>
    <t>260429000027</t>
  </si>
  <si>
    <t>260429000028</t>
  </si>
  <si>
    <t>260429000038</t>
  </si>
  <si>
    <t>260429000032</t>
  </si>
  <si>
    <t>260429000040</t>
  </si>
  <si>
    <t>BOITIER GEO-LOCALISATION GPS</t>
  </si>
  <si>
    <t>MODULE GASOIL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</si>
  <si>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Sept mille cinq cent quarante deux dirhams TTC</t>
    </r>
  </si>
  <si>
    <t>FIAT DOBLO CR</t>
  </si>
  <si>
    <t>0248319- J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</si>
  <si>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Sept mille cinq cent quarante deux dirhams  TTC</t>
    </r>
  </si>
  <si>
    <t>0257528 - J</t>
  </si>
  <si>
    <t>BOITIER GEO LOCALISATION GPS</t>
  </si>
  <si>
    <t xml:space="preserve">MODULE GASOIL </t>
  </si>
  <si>
    <t>0248320 - J</t>
  </si>
  <si>
    <t>DACIA LOGAN</t>
  </si>
  <si>
    <t xml:space="preserve">HUILE MOTEUR </t>
  </si>
  <si>
    <t>SERRURES PORTIERES</t>
  </si>
  <si>
    <t>KIT AMPOULES</t>
  </si>
  <si>
    <t>LUSTAGE OPTIQUES AVANT</t>
  </si>
  <si>
    <t>ENTRETIEN SERRURES</t>
  </si>
  <si>
    <t>COMMODO KLAXON</t>
  </si>
  <si>
    <t>TETE INJECTEURS</t>
  </si>
  <si>
    <r>
      <t xml:space="preserve">Arrêté la présente facture à la somme de </t>
    </r>
    <r>
      <rPr>
        <b/>
        <sz val="12"/>
        <color theme="1"/>
        <rFont val="Aptos Narrow"/>
        <scheme val="minor"/>
      </rPr>
      <t>Huit mille neuf cent soixante cinq dirhams et quatre vingt centimes TTC</t>
    </r>
  </si>
  <si>
    <t>PLAQUETTES AVANT</t>
  </si>
  <si>
    <t>PLAQUETTES ARRIERE</t>
  </si>
  <si>
    <t>COUVRE VOLANT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</si>
  <si>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Trois mille trois cent soixante douze dirhams et trente centimes TTC</t>
    </r>
  </si>
  <si>
    <t xml:space="preserve">MITSUBISHI PAJERO </t>
  </si>
  <si>
    <t>MONT/DEMONT MOYEU ARR</t>
  </si>
  <si>
    <t>RECHARGE FREDOU ARR</t>
  </si>
  <si>
    <t>AMORTISSEUR AVANT</t>
  </si>
  <si>
    <t>AMORTISSEUR ARRIERE</t>
  </si>
  <si>
    <r>
      <t>Arrêté la présente facture à la somme de</t>
    </r>
    <r>
      <rPr>
        <b/>
        <sz val="12"/>
        <color theme="1"/>
        <rFont val="Aptos Narrow"/>
        <family val="2"/>
        <scheme val="minor"/>
      </rPr>
      <t xml:space="preserve"> Dix sept mille trois cent soixante et un dirhams TTC</t>
    </r>
  </si>
  <si>
    <t>260429000029</t>
  </si>
  <si>
    <t>260429000067</t>
  </si>
  <si>
    <t>260429000041</t>
  </si>
  <si>
    <t>260429000034</t>
  </si>
  <si>
    <t>260429000033</t>
  </si>
  <si>
    <t>260429000030</t>
  </si>
  <si>
    <t>260429000035</t>
  </si>
  <si>
    <t>260426000046</t>
  </si>
  <si>
    <t>260429000062</t>
  </si>
  <si>
    <t>260429000031</t>
  </si>
  <si>
    <t>260429000068</t>
  </si>
  <si>
    <t>260429000039</t>
  </si>
  <si>
    <t>260429000047</t>
  </si>
  <si>
    <t>260429000036</t>
  </si>
  <si>
    <t>260429000060</t>
  </si>
  <si>
    <t>260429000055</t>
  </si>
  <si>
    <t>260429000037</t>
  </si>
  <si>
    <t>0207789 - J</t>
  </si>
  <si>
    <t>0215466 - J</t>
  </si>
  <si>
    <t>0257528- J</t>
  </si>
  <si>
    <t>0219569 - J</t>
  </si>
  <si>
    <t>0207799- J</t>
  </si>
  <si>
    <t>0242298 - J</t>
  </si>
  <si>
    <t>0207799 - J</t>
  </si>
  <si>
    <t>0219569- J</t>
  </si>
  <si>
    <t>0185418 - J</t>
  </si>
  <si>
    <t>0204318 - J</t>
  </si>
  <si>
    <t>2605429000029</t>
  </si>
  <si>
    <t>2605429000067</t>
  </si>
  <si>
    <t>2605429000041</t>
  </si>
  <si>
    <t>2605429000034</t>
  </si>
  <si>
    <t>2605429000033</t>
  </si>
  <si>
    <t>2605429000030</t>
  </si>
  <si>
    <t>2605429000035</t>
  </si>
  <si>
    <t>2605429000046</t>
  </si>
  <si>
    <t>2605429000062</t>
  </si>
  <si>
    <t>2605429000031</t>
  </si>
  <si>
    <t>2605429000068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</si>
</sst>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48"/>
      <color rgb="FF0070C0"/>
      <name val="Aptos Narrow"/>
      <family val="2"/>
      <scheme val="minor"/>
    </font>
    <font>
      <u val="double"/>
      <sz val="4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4" fontId="1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3" fontId="4" fillId="0" borderId="1" xfId="1" applyFont="1" applyBorder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952499</xdr:colOff>
      <xdr:row>0</xdr:row>
      <xdr:rowOff>85725</xdr:rowOff>
    </xdr:from>
    <xdr:to>
      <xdr:col>6</xdr:col>
      <xdr:colOff>290812</xdr:colOff>
      <xdr:row>2</xdr:row>
      <xdr:rowOff>523874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B6F03AC-F6EC-4A37-9D6C-CC3A84317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429249" y="85725"/>
          <a:ext cx="1881488" cy="8191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952499</xdr:colOff>
      <xdr:row>0</xdr:row>
      <xdr:rowOff>85725</xdr:rowOff>
    </xdr:from>
    <xdr:to>
      <xdr:col>6</xdr:col>
      <xdr:colOff>290812</xdr:colOff>
      <xdr:row>2</xdr:row>
      <xdr:rowOff>523874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067424" y="85725"/>
          <a:ext cx="2243438" cy="800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952499</xdr:colOff>
      <xdr:row>0</xdr:row>
      <xdr:rowOff>85725</xdr:rowOff>
    </xdr:from>
    <xdr:to>
      <xdr:col>6</xdr:col>
      <xdr:colOff>290812</xdr:colOff>
      <xdr:row>2</xdr:row>
      <xdr:rowOff>523874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429249" y="85725"/>
          <a:ext cx="1881488" cy="8191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10950" y="19051"/>
          <a:ext cx="1857217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06717" y="19051"/>
          <a:ext cx="1861450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783167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06717" y="19051"/>
          <a:ext cx="1861450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433917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06717" y="19051"/>
          <a:ext cx="1861450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06717" y="19051"/>
          <a:ext cx="1861450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06717" y="19051"/>
          <a:ext cx="1861450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296334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906717" y="19051"/>
          <a:ext cx="1861450" cy="7487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1201367</xdr:colOff>
      <xdr:row>0</xdr:row>
      <xdr:rowOff>19051</xdr:rowOff>
    </xdr:from>
    <xdr:to>
      <xdr:col>6</xdr:col>
      <xdr:colOff>243417</xdr:colOff>
      <xdr:row>2</xdr:row>
      <xdr:rowOff>386814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573467" y="19051"/>
          <a:ext cx="2261500" cy="729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675A-7929-47D4-A4ED-82A8C921C983}">
  <dimension ref="A1:H43"/>
  <sheetViews>
    <sheetView view="pageBreakPreview" topLeftCell="A18" zoomScaleNormal="100" zoomScaleSheetLayoutView="100" workbookViewId="0">
      <selection activeCell="F40" sqref="F40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5" style="1" customWidth="1"/>
    <col min="4" max="4" width="19.28515625" style="1" customWidth="1"/>
    <col min="5" max="5" width="21.28515625" style="1" customWidth="1"/>
    <col min="6" max="6" width="16.85546875" style="1" customWidth="1"/>
    <col min="7" max="7" width="21.7109375" style="1" customWidth="1"/>
    <col min="8" max="8" width="0.140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49.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5.75" x14ac:dyDescent="0.25">
      <c r="D11" s="32" t="s">
        <v>19</v>
      </c>
      <c r="E11" s="32"/>
      <c r="F11" s="1" t="s">
        <v>20</v>
      </c>
      <c r="G11" s="5">
        <v>46141</v>
      </c>
    </row>
    <row r="13" spans="1:8" x14ac:dyDescent="0.25">
      <c r="D13" s="33" t="s">
        <v>21</v>
      </c>
      <c r="E13" s="33"/>
    </row>
    <row r="15" spans="1:8" ht="21" x14ac:dyDescent="0.25">
      <c r="C15" s="34" t="s">
        <v>22</v>
      </c>
      <c r="D15" s="34"/>
      <c r="E15" s="34"/>
      <c r="F15" s="34"/>
    </row>
    <row r="18" spans="2:7" x14ac:dyDescent="0.25">
      <c r="B18" s="35" t="s">
        <v>0</v>
      </c>
      <c r="C18" s="35"/>
    </row>
    <row r="19" spans="2:7" x14ac:dyDescent="0.25">
      <c r="B19" s="2" t="s">
        <v>1</v>
      </c>
      <c r="C19" s="7">
        <v>3108</v>
      </c>
    </row>
    <row r="20" spans="2:7" ht="30" x14ac:dyDescent="0.25">
      <c r="B20" s="2" t="s">
        <v>2</v>
      </c>
      <c r="C20" s="8" t="s">
        <v>47</v>
      </c>
    </row>
    <row r="21" spans="2:7" ht="30" x14ac:dyDescent="0.25">
      <c r="B21" s="2" t="s">
        <v>3</v>
      </c>
      <c r="C21" s="8" t="s">
        <v>48</v>
      </c>
    </row>
    <row r="22" spans="2:7" x14ac:dyDescent="0.25">
      <c r="B22" s="2" t="s">
        <v>4</v>
      </c>
      <c r="C22" s="8" t="s">
        <v>18</v>
      </c>
    </row>
    <row r="23" spans="2:7" x14ac:dyDescent="0.25">
      <c r="B23" s="2" t="s">
        <v>5</v>
      </c>
      <c r="C23" s="8">
        <v>150241</v>
      </c>
    </row>
    <row r="24" spans="2:7" x14ac:dyDescent="0.25">
      <c r="B24" s="2" t="s">
        <v>6</v>
      </c>
      <c r="C24" s="8">
        <v>64006750</v>
      </c>
    </row>
    <row r="25" spans="2:7" x14ac:dyDescent="0.25">
      <c r="B25" s="2" t="s">
        <v>7</v>
      </c>
      <c r="C25" s="8">
        <v>65976431</v>
      </c>
    </row>
    <row r="26" spans="2:7" x14ac:dyDescent="0.25">
      <c r="B26" s="2" t="s">
        <v>8</v>
      </c>
      <c r="C26" s="9" t="s">
        <v>49</v>
      </c>
    </row>
    <row r="27" spans="2:7" ht="30" x14ac:dyDescent="0.25">
      <c r="B27" s="2" t="s">
        <v>9</v>
      </c>
      <c r="C27" s="9" t="s">
        <v>50</v>
      </c>
    </row>
    <row r="31" spans="2:7" x14ac:dyDescent="0.25">
      <c r="B31" s="3" t="s">
        <v>10</v>
      </c>
      <c r="C31" s="3" t="s">
        <v>11</v>
      </c>
      <c r="D31" s="3" t="s">
        <v>15</v>
      </c>
      <c r="E31" s="3" t="s">
        <v>12</v>
      </c>
      <c r="F31" s="3" t="s">
        <v>13</v>
      </c>
      <c r="G31" s="3" t="s">
        <v>14</v>
      </c>
    </row>
    <row r="32" spans="2:7" ht="15.75" x14ac:dyDescent="0.25">
      <c r="B32" s="16">
        <f>+'Annexe 31'!E11</f>
        <v>20260103</v>
      </c>
      <c r="C32" s="25">
        <f>+'Annexe 7'!G11</f>
        <v>46141</v>
      </c>
      <c r="D32" s="22" t="s">
        <v>231</v>
      </c>
      <c r="E32" s="12">
        <f>+'Annexe 31'!G40</f>
        <v>8379.9959999999992</v>
      </c>
      <c r="F32" s="12">
        <f t="shared" ref="F32:F37" si="0">+E32*0.1</f>
        <v>837.99959999999999</v>
      </c>
      <c r="G32" s="13">
        <f>+E32-F32</f>
        <v>7541.9963999999991</v>
      </c>
    </row>
    <row r="33" spans="2:7" ht="15.75" x14ac:dyDescent="0.25">
      <c r="B33" s="16">
        <f>+'Annexe 32'!E11</f>
        <v>20260105</v>
      </c>
      <c r="C33" s="25">
        <f>+'Annexe 8'!G11</f>
        <v>46141</v>
      </c>
      <c r="D33" s="22" t="s">
        <v>232</v>
      </c>
      <c r="E33" s="12">
        <f>+'Annexe 32'!G40</f>
        <v>8379.9959999999992</v>
      </c>
      <c r="F33" s="12">
        <f t="shared" si="0"/>
        <v>837.99959999999999</v>
      </c>
      <c r="G33" s="13">
        <f t="shared" ref="G33:G37" si="1">+E33-F33</f>
        <v>7541.9963999999991</v>
      </c>
    </row>
    <row r="34" spans="2:7" ht="15.75" x14ac:dyDescent="0.25">
      <c r="B34" s="16">
        <f>+'Annexe 33'!E11</f>
        <v>2026099</v>
      </c>
      <c r="C34" s="25">
        <v>46141</v>
      </c>
      <c r="D34" s="22" t="s">
        <v>233</v>
      </c>
      <c r="E34" s="12">
        <f>+'Annexe 33'!G40</f>
        <v>8379.9959999999992</v>
      </c>
      <c r="F34" s="12">
        <f t="shared" si="0"/>
        <v>837.99959999999999</v>
      </c>
      <c r="G34" s="13">
        <f t="shared" si="1"/>
        <v>7541.9963999999991</v>
      </c>
    </row>
    <row r="35" spans="2:7" ht="15.75" x14ac:dyDescent="0.25">
      <c r="B35" s="16">
        <f>+'Annexe 34'!E11</f>
        <v>20260100</v>
      </c>
      <c r="C35" s="25">
        <v>47237</v>
      </c>
      <c r="D35" s="22" t="s">
        <v>234</v>
      </c>
      <c r="E35" s="12">
        <f>+'Annexe 34'!G46</f>
        <v>9962.0040000000008</v>
      </c>
      <c r="F35" s="12">
        <f t="shared" si="0"/>
        <v>996.20040000000017</v>
      </c>
      <c r="G35" s="13">
        <f t="shared" si="1"/>
        <v>8965.8036000000011</v>
      </c>
    </row>
    <row r="36" spans="2:7" ht="15.75" x14ac:dyDescent="0.25">
      <c r="B36" s="16">
        <f>+'Annexe 35'!E11</f>
        <v>20260107</v>
      </c>
      <c r="C36" s="25">
        <v>46141</v>
      </c>
      <c r="D36" s="22" t="s">
        <v>235</v>
      </c>
      <c r="E36" s="12">
        <f>+'Annexe 35'!G41</f>
        <v>3747</v>
      </c>
      <c r="F36" s="12">
        <f t="shared" si="0"/>
        <v>374.70000000000005</v>
      </c>
      <c r="G36" s="13">
        <f t="shared" si="1"/>
        <v>3372.3</v>
      </c>
    </row>
    <row r="37" spans="2:7" ht="15.75" x14ac:dyDescent="0.25">
      <c r="B37" s="16">
        <f>+'Annexe 36'!E11</f>
        <v>20260108</v>
      </c>
      <c r="C37" s="25">
        <v>46141</v>
      </c>
      <c r="D37" s="22" t="s">
        <v>236</v>
      </c>
      <c r="E37" s="12">
        <f>+'Annexe 36'!G41</f>
        <v>19290</v>
      </c>
      <c r="F37" s="12">
        <f t="shared" si="0"/>
        <v>1929</v>
      </c>
      <c r="G37" s="13">
        <f t="shared" si="1"/>
        <v>17361</v>
      </c>
    </row>
    <row r="38" spans="2:7" ht="13.5" customHeight="1" x14ac:dyDescent="0.25">
      <c r="B38" s="16"/>
      <c r="C38" s="25"/>
      <c r="D38" s="22"/>
      <c r="E38" s="12"/>
      <c r="F38" s="12"/>
      <c r="G38" s="13"/>
    </row>
    <row r="39" spans="2:7" ht="15.75" x14ac:dyDescent="0.25">
      <c r="B39" s="10"/>
      <c r="C39" s="11"/>
      <c r="D39" s="10"/>
      <c r="E39" s="12"/>
      <c r="F39" s="10"/>
      <c r="G39" s="13"/>
    </row>
    <row r="40" spans="2:7" ht="15.75" x14ac:dyDescent="0.25">
      <c r="B40" s="10" t="s">
        <v>16</v>
      </c>
      <c r="C40" s="11"/>
      <c r="D40" s="10"/>
      <c r="E40" s="13">
        <v>58139</v>
      </c>
      <c r="F40" s="13">
        <f>SUM(F32:F39)</f>
        <v>5813.8991999999998</v>
      </c>
      <c r="G40" s="13">
        <v>52325.1</v>
      </c>
    </row>
    <row r="43" spans="2:7" ht="15.75" x14ac:dyDescent="0.25">
      <c r="E43" s="14" t="s">
        <v>17</v>
      </c>
    </row>
  </sheetData>
  <mergeCells count="5">
    <mergeCell ref="A1:H3"/>
    <mergeCell ref="D11:E11"/>
    <mergeCell ref="D13:E13"/>
    <mergeCell ref="C15:F15"/>
    <mergeCell ref="B18:C18"/>
  </mergeCells>
  <pageMargins left="0.7" right="0.7" top="0.75" bottom="0.75" header="0.3" footer="0.3"/>
  <pageSetup paperSize="9" scale="6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H48"/>
  <sheetViews>
    <sheetView view="pageBreakPreview" topLeftCell="A29" zoomScaleNormal="100" zoomScaleSheetLayoutView="100" workbookViewId="0">
      <selection activeCell="F52" sqref="F52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5" style="1" customWidth="1"/>
    <col min="4" max="4" width="19.28515625" style="1" customWidth="1"/>
    <col min="5" max="5" width="21.28515625" style="1" customWidth="1"/>
    <col min="6" max="6" width="16.85546875" style="1" customWidth="1"/>
    <col min="7" max="7" width="21.7109375" style="1" customWidth="1"/>
    <col min="8" max="8" width="0.140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49.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5.75" x14ac:dyDescent="0.25">
      <c r="D11" s="32" t="s">
        <v>19</v>
      </c>
      <c r="E11" s="32"/>
      <c r="F11" s="1" t="s">
        <v>20</v>
      </c>
      <c r="G11" s="5">
        <v>46141</v>
      </c>
    </row>
    <row r="13" spans="1:8" x14ac:dyDescent="0.25">
      <c r="D13" s="33" t="s">
        <v>21</v>
      </c>
      <c r="E13" s="33"/>
    </row>
    <row r="15" spans="1:8" ht="21" x14ac:dyDescent="0.25">
      <c r="C15" s="34" t="s">
        <v>22</v>
      </c>
      <c r="D15" s="34"/>
      <c r="E15" s="34"/>
      <c r="F15" s="34"/>
    </row>
    <row r="18" spans="2:7" x14ac:dyDescent="0.25">
      <c r="B18" s="35" t="s">
        <v>0</v>
      </c>
      <c r="C18" s="35"/>
    </row>
    <row r="19" spans="2:7" x14ac:dyDescent="0.25">
      <c r="B19" s="2" t="s">
        <v>1</v>
      </c>
      <c r="C19" s="7">
        <v>3108</v>
      </c>
    </row>
    <row r="20" spans="2:7" ht="30" x14ac:dyDescent="0.25">
      <c r="B20" s="2" t="s">
        <v>2</v>
      </c>
      <c r="C20" s="8" t="s">
        <v>47</v>
      </c>
    </row>
    <row r="21" spans="2:7" ht="30" x14ac:dyDescent="0.25">
      <c r="B21" s="2" t="s">
        <v>3</v>
      </c>
      <c r="C21" s="8" t="s">
        <v>48</v>
      </c>
    </row>
    <row r="22" spans="2:7" x14ac:dyDescent="0.25">
      <c r="B22" s="2" t="s">
        <v>4</v>
      </c>
      <c r="C22" s="8" t="s">
        <v>18</v>
      </c>
    </row>
    <row r="23" spans="2:7" x14ac:dyDescent="0.25">
      <c r="B23" s="2" t="s">
        <v>5</v>
      </c>
      <c r="C23" s="8">
        <v>150241</v>
      </c>
    </row>
    <row r="24" spans="2:7" x14ac:dyDescent="0.25">
      <c r="B24" s="2" t="s">
        <v>6</v>
      </c>
      <c r="C24" s="8">
        <v>64006750</v>
      </c>
    </row>
    <row r="25" spans="2:7" x14ac:dyDescent="0.25">
      <c r="B25" s="2" t="s">
        <v>7</v>
      </c>
      <c r="C25" s="8">
        <v>65976431</v>
      </c>
    </row>
    <row r="26" spans="2:7" x14ac:dyDescent="0.25">
      <c r="B26" s="2" t="s">
        <v>8</v>
      </c>
      <c r="C26" s="9" t="s">
        <v>49</v>
      </c>
    </row>
    <row r="27" spans="2:7" ht="30" x14ac:dyDescent="0.25">
      <c r="B27" s="2" t="s">
        <v>9</v>
      </c>
      <c r="C27" s="9" t="s">
        <v>50</v>
      </c>
    </row>
    <row r="31" spans="2:7" x14ac:dyDescent="0.25">
      <c r="B31" s="3" t="s">
        <v>10</v>
      </c>
      <c r="C31" s="3" t="s">
        <v>11</v>
      </c>
      <c r="D31" s="3" t="s">
        <v>15</v>
      </c>
      <c r="E31" s="3" t="s">
        <v>12</v>
      </c>
      <c r="F31" s="3" t="s">
        <v>13</v>
      </c>
      <c r="G31" s="3" t="s">
        <v>14</v>
      </c>
    </row>
    <row r="32" spans="2:7" ht="15.75" x14ac:dyDescent="0.25">
      <c r="B32" s="16">
        <f>+'Annexe 18'!E11</f>
        <v>2026075</v>
      </c>
      <c r="C32" s="25">
        <f>+'Annexe 7'!G11</f>
        <v>46141</v>
      </c>
      <c r="D32" s="22" t="s">
        <v>247</v>
      </c>
      <c r="E32" s="12">
        <f>+'Annexe 18'!G44</f>
        <v>2280</v>
      </c>
      <c r="F32" s="56">
        <f t="shared" ref="F32:F42" si="0">+E32*0.1</f>
        <v>228</v>
      </c>
      <c r="G32" s="13">
        <f>+E32-F32</f>
        <v>2052</v>
      </c>
    </row>
    <row r="33" spans="2:7" ht="15.75" x14ac:dyDescent="0.25">
      <c r="B33" s="16">
        <f>+'Annexe 19'!E11</f>
        <v>2026076</v>
      </c>
      <c r="C33" s="25">
        <f>+'Annexe 8'!G11</f>
        <v>46141</v>
      </c>
      <c r="D33" s="22" t="s">
        <v>248</v>
      </c>
      <c r="E33" s="12">
        <f>+'Annexe 19'!G43</f>
        <v>1920</v>
      </c>
      <c r="F33" s="56">
        <f t="shared" si="0"/>
        <v>192</v>
      </c>
      <c r="G33" s="13">
        <f t="shared" ref="G33:G42" si="1">+E33-F33</f>
        <v>1728</v>
      </c>
    </row>
    <row r="34" spans="2:7" ht="15.75" x14ac:dyDescent="0.25">
      <c r="B34" s="16">
        <f>+'Annexe 20'!E11</f>
        <v>2026074</v>
      </c>
      <c r="C34" s="25">
        <v>46141</v>
      </c>
      <c r="D34" s="22" t="s">
        <v>249</v>
      </c>
      <c r="E34" s="12">
        <f>+'Annexe 20'!G42</f>
        <v>19787.003999999997</v>
      </c>
      <c r="F34" s="56">
        <f t="shared" si="0"/>
        <v>1978.7003999999997</v>
      </c>
      <c r="G34" s="13">
        <f t="shared" si="1"/>
        <v>17808.303599999999</v>
      </c>
    </row>
    <row r="35" spans="2:7" ht="15.75" x14ac:dyDescent="0.25">
      <c r="B35" s="16">
        <f>+'Annexe 21'!E11</f>
        <v>2026082</v>
      </c>
      <c r="C35" s="25">
        <v>46141</v>
      </c>
      <c r="D35" s="22" t="s">
        <v>250</v>
      </c>
      <c r="E35" s="12">
        <f>+'Annexe 21'!G52</f>
        <v>12215.484</v>
      </c>
      <c r="F35" s="56">
        <f t="shared" si="0"/>
        <v>1221.5484000000001</v>
      </c>
      <c r="G35" s="13">
        <f t="shared" si="1"/>
        <v>10993.935600000001</v>
      </c>
    </row>
    <row r="36" spans="2:7" ht="15.75" x14ac:dyDescent="0.25">
      <c r="B36" s="16">
        <f>+'Annexe 22 '!E11</f>
        <v>2026079</v>
      </c>
      <c r="C36" s="25">
        <v>46141</v>
      </c>
      <c r="D36" s="22" t="s">
        <v>251</v>
      </c>
      <c r="E36" s="12">
        <f>+'Annexe 22 '!G43</f>
        <v>16181.58</v>
      </c>
      <c r="F36" s="56">
        <f t="shared" si="0"/>
        <v>1618.1580000000001</v>
      </c>
      <c r="G36" s="13">
        <f t="shared" si="1"/>
        <v>14563.422</v>
      </c>
    </row>
    <row r="37" spans="2:7" ht="15.75" x14ac:dyDescent="0.25">
      <c r="B37" s="16">
        <f>+'Annexe 23'!E11</f>
        <v>2026080</v>
      </c>
      <c r="C37" s="25">
        <v>46141</v>
      </c>
      <c r="D37" s="22" t="s">
        <v>252</v>
      </c>
      <c r="E37" s="12">
        <f>+'Annexe 23'!G42</f>
        <v>4191.9960000000001</v>
      </c>
      <c r="F37" s="56">
        <f t="shared" si="0"/>
        <v>419.19960000000003</v>
      </c>
      <c r="G37" s="13">
        <f t="shared" si="1"/>
        <v>3772.7964000000002</v>
      </c>
    </row>
    <row r="38" spans="2:7" ht="15.75" x14ac:dyDescent="0.25">
      <c r="B38" s="16">
        <f>+'Annexe 26'!E11</f>
        <v>2026091</v>
      </c>
      <c r="C38" s="25">
        <v>46141</v>
      </c>
      <c r="D38" s="22" t="s">
        <v>253</v>
      </c>
      <c r="E38" s="12">
        <f>+'Annexe 26'!G41</f>
        <v>2160</v>
      </c>
      <c r="F38" s="56">
        <f t="shared" si="0"/>
        <v>216</v>
      </c>
      <c r="G38" s="13">
        <f t="shared" si="1"/>
        <v>1944</v>
      </c>
    </row>
    <row r="39" spans="2:7" ht="15.75" x14ac:dyDescent="0.25">
      <c r="B39" s="16">
        <f>+'Annexe  27'!E11</f>
        <v>2026092</v>
      </c>
      <c r="C39" s="25">
        <v>46141</v>
      </c>
      <c r="D39" s="22" t="s">
        <v>254</v>
      </c>
      <c r="E39" s="12">
        <f>+'Annexe  27'!G42</f>
        <v>3956.0039999999999</v>
      </c>
      <c r="F39" s="56">
        <f t="shared" si="0"/>
        <v>395.60040000000004</v>
      </c>
      <c r="G39" s="13">
        <f t="shared" si="1"/>
        <v>3560.4035999999996</v>
      </c>
    </row>
    <row r="40" spans="2:7" ht="15.75" x14ac:dyDescent="0.25">
      <c r="B40" s="16">
        <f>+'Annexe 28'!E11</f>
        <v>2026095</v>
      </c>
      <c r="C40" s="25">
        <v>46141</v>
      </c>
      <c r="D40" s="22" t="s">
        <v>255</v>
      </c>
      <c r="E40" s="12">
        <f>+'Annexe 28'!G43</f>
        <v>9943.2000000000007</v>
      </c>
      <c r="F40" s="56">
        <f t="shared" si="0"/>
        <v>994.32000000000016</v>
      </c>
      <c r="G40" s="13">
        <f t="shared" si="1"/>
        <v>8948.880000000001</v>
      </c>
    </row>
    <row r="41" spans="2:7" ht="15.75" x14ac:dyDescent="0.25">
      <c r="B41" s="16">
        <f>+'Annexe 29'!E11</f>
        <v>20260101</v>
      </c>
      <c r="C41" s="25">
        <v>46141</v>
      </c>
      <c r="D41" s="22" t="s">
        <v>256</v>
      </c>
      <c r="E41" s="12">
        <f>+'Annexe 29'!G40</f>
        <v>8379.9959999999992</v>
      </c>
      <c r="F41" s="56">
        <f t="shared" si="0"/>
        <v>837.99959999999999</v>
      </c>
      <c r="G41" s="13">
        <f t="shared" si="1"/>
        <v>7541.9963999999991</v>
      </c>
    </row>
    <row r="42" spans="2:7" ht="15.75" x14ac:dyDescent="0.25">
      <c r="B42" s="16">
        <f>+'Annexe 30'!E11</f>
        <v>20260102</v>
      </c>
      <c r="C42" s="25">
        <v>46141</v>
      </c>
      <c r="D42" s="22" t="s">
        <v>257</v>
      </c>
      <c r="E42" s="12">
        <f>+'Annexe 30'!G40</f>
        <v>8379.9959999999992</v>
      </c>
      <c r="F42" s="56">
        <f t="shared" si="0"/>
        <v>837.99959999999999</v>
      </c>
      <c r="G42" s="13">
        <f t="shared" si="1"/>
        <v>7541.9963999999991</v>
      </c>
    </row>
    <row r="43" spans="2:7" ht="15.75" x14ac:dyDescent="0.25">
      <c r="B43" s="10"/>
      <c r="C43" s="11"/>
      <c r="D43" s="10"/>
      <c r="E43" s="12"/>
      <c r="F43" s="10"/>
      <c r="G43" s="13"/>
    </row>
    <row r="44" spans="2:7" ht="15.75" x14ac:dyDescent="0.25">
      <c r="B44" s="10"/>
      <c r="C44" s="11"/>
      <c r="D44" s="10"/>
      <c r="E44" s="12"/>
      <c r="F44" s="10"/>
      <c r="G44" s="13"/>
    </row>
    <row r="45" spans="2:7" ht="15.75" x14ac:dyDescent="0.25">
      <c r="B45" s="10" t="s">
        <v>16</v>
      </c>
      <c r="C45" s="11"/>
      <c r="D45" s="10"/>
      <c r="E45" s="13">
        <f>SUM(E32:E44)</f>
        <v>89395.26</v>
      </c>
      <c r="F45" s="13">
        <f>SUM(F32:F44)</f>
        <v>8939.5259999999998</v>
      </c>
      <c r="G45" s="13">
        <f t="shared" ref="G45" si="2">SUM(G32:G44)</f>
        <v>80455.734000000011</v>
      </c>
    </row>
    <row r="48" spans="2:7" ht="15.75" x14ac:dyDescent="0.25">
      <c r="E48" s="14" t="s">
        <v>17</v>
      </c>
    </row>
  </sheetData>
  <mergeCells count="5">
    <mergeCell ref="A1:H3"/>
    <mergeCell ref="D11:E11"/>
    <mergeCell ref="D13:E13"/>
    <mergeCell ref="C15:F15"/>
    <mergeCell ref="B18:C18"/>
  </mergeCells>
  <pageMargins left="0.7" right="0.7" top="0.75" bottom="0.75" header="0.3" footer="0.3"/>
  <pageSetup paperSize="9" scale="6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theme="5"/>
  </sheetPr>
  <dimension ref="A1:H47"/>
  <sheetViews>
    <sheetView tabSelected="1" view="pageBreakPreview" topLeftCell="A28" zoomScaleNormal="100" zoomScaleSheetLayoutView="100" workbookViewId="0">
      <selection sqref="A1:H59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5" style="1" customWidth="1"/>
    <col min="4" max="4" width="19.28515625" style="1" customWidth="1"/>
    <col min="5" max="5" width="21.28515625" style="1" customWidth="1"/>
    <col min="6" max="6" width="16.85546875" style="1" customWidth="1"/>
    <col min="7" max="7" width="21.7109375" style="1" customWidth="1"/>
    <col min="8" max="8" width="0.140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49.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5.75" x14ac:dyDescent="0.25">
      <c r="D11" s="32" t="s">
        <v>19</v>
      </c>
      <c r="E11" s="32"/>
      <c r="F11" s="1" t="s">
        <v>20</v>
      </c>
      <c r="G11" s="55">
        <v>46141</v>
      </c>
    </row>
    <row r="13" spans="1:8" x14ac:dyDescent="0.25">
      <c r="D13" s="33" t="s">
        <v>21</v>
      </c>
      <c r="E13" s="33"/>
    </row>
    <row r="15" spans="1:8" ht="21" x14ac:dyDescent="0.25">
      <c r="C15" s="34" t="s">
        <v>22</v>
      </c>
      <c r="D15" s="34"/>
      <c r="E15" s="34"/>
      <c r="F15" s="34"/>
    </row>
    <row r="18" spans="2:7" x14ac:dyDescent="0.25">
      <c r="B18" s="35" t="s">
        <v>0</v>
      </c>
      <c r="C18" s="35"/>
    </row>
    <row r="19" spans="2:7" x14ac:dyDescent="0.25">
      <c r="B19" s="2" t="s">
        <v>1</v>
      </c>
      <c r="C19" s="7">
        <v>3108</v>
      </c>
    </row>
    <row r="20" spans="2:7" ht="30" x14ac:dyDescent="0.25">
      <c r="B20" s="2" t="s">
        <v>2</v>
      </c>
      <c r="C20" s="8" t="s">
        <v>47</v>
      </c>
    </row>
    <row r="21" spans="2:7" ht="30" x14ac:dyDescent="0.25">
      <c r="B21" s="2" t="s">
        <v>3</v>
      </c>
      <c r="C21" s="8" t="s">
        <v>48</v>
      </c>
    </row>
    <row r="22" spans="2:7" x14ac:dyDescent="0.25">
      <c r="B22" s="2" t="s">
        <v>4</v>
      </c>
      <c r="C22" s="8" t="s">
        <v>18</v>
      </c>
    </row>
    <row r="23" spans="2:7" x14ac:dyDescent="0.25">
      <c r="B23" s="2" t="s">
        <v>5</v>
      </c>
      <c r="C23" s="8">
        <v>150241</v>
      </c>
    </row>
    <row r="24" spans="2:7" x14ac:dyDescent="0.25">
      <c r="B24" s="2" t="s">
        <v>6</v>
      </c>
      <c r="C24" s="8">
        <v>64006750</v>
      </c>
    </row>
    <row r="25" spans="2:7" x14ac:dyDescent="0.25">
      <c r="B25" s="2" t="s">
        <v>7</v>
      </c>
      <c r="C25" s="8">
        <v>65976431</v>
      </c>
    </row>
    <row r="26" spans="2:7" x14ac:dyDescent="0.25">
      <c r="B26" s="2" t="s">
        <v>8</v>
      </c>
      <c r="C26" s="9" t="s">
        <v>49</v>
      </c>
    </row>
    <row r="27" spans="2:7" ht="30" x14ac:dyDescent="0.25">
      <c r="B27" s="2" t="s">
        <v>9</v>
      </c>
      <c r="C27" s="9" t="s">
        <v>50</v>
      </c>
    </row>
    <row r="31" spans="2:7" x14ac:dyDescent="0.25">
      <c r="B31" s="3" t="s">
        <v>10</v>
      </c>
      <c r="C31" s="3" t="s">
        <v>11</v>
      </c>
      <c r="D31" s="3" t="s">
        <v>15</v>
      </c>
      <c r="E31" s="3" t="s">
        <v>12</v>
      </c>
      <c r="F31" s="3" t="s">
        <v>13</v>
      </c>
      <c r="G31" s="3" t="s">
        <v>14</v>
      </c>
    </row>
    <row r="32" spans="2:7" ht="15.75" x14ac:dyDescent="0.25">
      <c r="B32" s="16">
        <f>+'Annexe 7'!E11</f>
        <v>2026002</v>
      </c>
      <c r="C32" s="25">
        <f>+'Annexe 7'!G11</f>
        <v>46141</v>
      </c>
      <c r="D32" s="22" t="s">
        <v>181</v>
      </c>
      <c r="E32" s="12">
        <f>+'Annexe 7'!G46</f>
        <v>2954.0039999999999</v>
      </c>
      <c r="F32" s="12">
        <f t="shared" ref="F32:F41" si="0">+E32*0.1</f>
        <v>295.40039999999999</v>
      </c>
      <c r="G32" s="13">
        <f>+E32-F32</f>
        <v>2658.6035999999999</v>
      </c>
    </row>
    <row r="33" spans="2:7" ht="15.75" x14ac:dyDescent="0.25">
      <c r="B33" s="16">
        <f>+'Annexe 8'!E11</f>
        <v>2026004</v>
      </c>
      <c r="C33" s="25">
        <f>+'Annexe 8'!G11</f>
        <v>46141</v>
      </c>
      <c r="D33" s="22" t="s">
        <v>182</v>
      </c>
      <c r="E33" s="12">
        <f>+'Annexe 8'!G45</f>
        <v>9939.9959999999992</v>
      </c>
      <c r="F33" s="12">
        <f t="shared" si="0"/>
        <v>993.99959999999999</v>
      </c>
      <c r="G33" s="13">
        <f t="shared" ref="G33:G41" si="1">+E33-F33</f>
        <v>8945.9964</v>
      </c>
    </row>
    <row r="34" spans="2:7" ht="15.75" x14ac:dyDescent="0.25">
      <c r="B34" s="16">
        <f>+'Annexe 10'!E11</f>
        <v>2026027</v>
      </c>
      <c r="C34" s="25">
        <v>46141</v>
      </c>
      <c r="D34" s="22" t="s">
        <v>183</v>
      </c>
      <c r="E34" s="12">
        <f>+'Annexe 10'!G46</f>
        <v>15120</v>
      </c>
      <c r="F34" s="12">
        <f t="shared" si="0"/>
        <v>1512</v>
      </c>
      <c r="G34" s="13">
        <f t="shared" si="1"/>
        <v>13608</v>
      </c>
    </row>
    <row r="35" spans="2:7" ht="15.75" x14ac:dyDescent="0.25">
      <c r="B35" s="16">
        <f>+'Annexe 11'!E11</f>
        <v>2026032</v>
      </c>
      <c r="C35" s="25">
        <v>46141</v>
      </c>
      <c r="D35" s="22" t="s">
        <v>184</v>
      </c>
      <c r="E35" s="12">
        <f>+'Annexe 11'!G46</f>
        <v>14466</v>
      </c>
      <c r="F35" s="12">
        <f t="shared" si="0"/>
        <v>1446.6000000000001</v>
      </c>
      <c r="G35" s="13">
        <f t="shared" si="1"/>
        <v>13019.4</v>
      </c>
    </row>
    <row r="36" spans="2:7" ht="15.75" x14ac:dyDescent="0.25">
      <c r="B36" s="16">
        <f>+'Annexe 12'!E11</f>
        <v>2026034</v>
      </c>
      <c r="C36" s="25">
        <v>46141</v>
      </c>
      <c r="D36" s="22" t="s">
        <v>185</v>
      </c>
      <c r="E36" s="12">
        <f>+'Annexe 12'!G46</f>
        <v>7730.0039999999999</v>
      </c>
      <c r="F36" s="12">
        <f t="shared" si="0"/>
        <v>773.00040000000001</v>
      </c>
      <c r="G36" s="13">
        <f t="shared" si="1"/>
        <v>6957.0036</v>
      </c>
    </row>
    <row r="37" spans="2:7" ht="15.75" x14ac:dyDescent="0.25">
      <c r="B37" s="16">
        <f>+'Annexe 13 '!E11</f>
        <v>2026049</v>
      </c>
      <c r="C37" s="25">
        <v>46141</v>
      </c>
      <c r="D37" s="22" t="s">
        <v>186</v>
      </c>
      <c r="E37" s="12">
        <f>+'Annexe 13 '!G44</f>
        <v>3018</v>
      </c>
      <c r="F37" s="12">
        <f t="shared" si="0"/>
        <v>301.8</v>
      </c>
      <c r="G37" s="13">
        <f t="shared" si="1"/>
        <v>2716.2</v>
      </c>
    </row>
    <row r="38" spans="2:7" ht="15.75" x14ac:dyDescent="0.25">
      <c r="B38" s="16">
        <f>+'Annexe 14 '!E11</f>
        <v>2026050</v>
      </c>
      <c r="C38" s="25">
        <v>46141</v>
      </c>
      <c r="D38" s="22" t="s">
        <v>187</v>
      </c>
      <c r="E38" s="12">
        <f>+'Annexe 14 '!G43</f>
        <v>1077</v>
      </c>
      <c r="F38" s="56">
        <f t="shared" si="0"/>
        <v>107.7</v>
      </c>
      <c r="G38" s="13">
        <f t="shared" si="1"/>
        <v>969.3</v>
      </c>
    </row>
    <row r="39" spans="2:7" ht="15.75" x14ac:dyDescent="0.25">
      <c r="B39" s="16">
        <f>+'Annexe 15'!E11</f>
        <v>2026053</v>
      </c>
      <c r="C39" s="25">
        <v>46141</v>
      </c>
      <c r="D39" s="22" t="s">
        <v>188</v>
      </c>
      <c r="E39" s="12">
        <f>+'Annexe 15'!G46</f>
        <v>19616.004000000001</v>
      </c>
      <c r="F39" s="56">
        <f t="shared" si="0"/>
        <v>1961.6004000000003</v>
      </c>
      <c r="G39" s="13">
        <f t="shared" si="1"/>
        <v>17654.403600000001</v>
      </c>
    </row>
    <row r="40" spans="2:7" ht="15.75" x14ac:dyDescent="0.25">
      <c r="B40" s="16">
        <f>+'Annexe 16 '!E11</f>
        <v>2026054</v>
      </c>
      <c r="C40" s="25">
        <v>46141</v>
      </c>
      <c r="D40" s="22" t="s">
        <v>189</v>
      </c>
      <c r="E40" s="12">
        <f>+'Annexe 16 '!G43</f>
        <v>2280</v>
      </c>
      <c r="F40" s="56">
        <f t="shared" si="0"/>
        <v>228</v>
      </c>
      <c r="G40" s="13">
        <f t="shared" si="1"/>
        <v>2052</v>
      </c>
    </row>
    <row r="41" spans="2:7" ht="15.75" x14ac:dyDescent="0.25">
      <c r="B41" s="16">
        <f>+'Annexe 17'!E11</f>
        <v>2026072</v>
      </c>
      <c r="C41" s="25">
        <v>46141</v>
      </c>
      <c r="D41" s="22" t="s">
        <v>190</v>
      </c>
      <c r="E41" s="12">
        <f>+'Annexe 17'!G43</f>
        <v>10740</v>
      </c>
      <c r="F41" s="56">
        <f t="shared" si="0"/>
        <v>1074</v>
      </c>
      <c r="G41" s="13">
        <f t="shared" si="1"/>
        <v>9666</v>
      </c>
    </row>
    <row r="42" spans="2:7" ht="15.75" x14ac:dyDescent="0.25">
      <c r="B42" s="10"/>
      <c r="C42" s="11"/>
      <c r="D42" s="10"/>
      <c r="E42" s="12"/>
      <c r="F42" s="10"/>
      <c r="G42" s="13"/>
    </row>
    <row r="43" spans="2:7" ht="15.75" x14ac:dyDescent="0.25">
      <c r="B43" s="10"/>
      <c r="C43" s="11"/>
      <c r="D43" s="10"/>
      <c r="E43" s="12"/>
      <c r="F43" s="10"/>
      <c r="G43" s="13"/>
    </row>
    <row r="44" spans="2:7" ht="15.75" x14ac:dyDescent="0.25">
      <c r="B44" s="10" t="s">
        <v>16</v>
      </c>
      <c r="C44" s="11"/>
      <c r="D44" s="10"/>
      <c r="E44" s="13">
        <v>86941</v>
      </c>
      <c r="F44" s="13">
        <f>SUM(F32:F43)</f>
        <v>8694.1008000000002</v>
      </c>
      <c r="G44" s="13">
        <v>78246.899999999994</v>
      </c>
    </row>
    <row r="47" spans="2:7" ht="15.75" x14ac:dyDescent="0.25">
      <c r="E47" s="14" t="s">
        <v>17</v>
      </c>
    </row>
  </sheetData>
  <mergeCells count="5">
    <mergeCell ref="B18:C18"/>
    <mergeCell ref="D13:E13"/>
    <mergeCell ref="D11:E11"/>
    <mergeCell ref="C15:F15"/>
    <mergeCell ref="A1:H3"/>
  </mergeCells>
  <pageMargins left="0.7" right="0.7" top="0.75" bottom="0.75" header="0.3" footer="0.3"/>
  <pageSetup paperSize="9" scale="6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rgb="FFFFFF00"/>
  </sheetPr>
  <dimension ref="A1:I59"/>
  <sheetViews>
    <sheetView view="pageBreakPreview" topLeftCell="A20" zoomScale="90" zoomScaleNormal="100" zoomScaleSheetLayoutView="90" workbookViewId="0">
      <selection sqref="A1:H5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2026002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60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332988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181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77</v>
      </c>
      <c r="D32" s="43"/>
      <c r="E32" s="17">
        <v>1</v>
      </c>
      <c r="F32" s="18">
        <v>874.5</v>
      </c>
      <c r="G32" s="18">
        <f>F32*E32</f>
        <v>874.5</v>
      </c>
    </row>
    <row r="33" spans="2:9" ht="15.75" x14ac:dyDescent="0.25">
      <c r="B33" s="10" t="s">
        <v>53</v>
      </c>
      <c r="C33" s="42" t="s">
        <v>78</v>
      </c>
      <c r="D33" s="43"/>
      <c r="E33" s="17">
        <v>1</v>
      </c>
      <c r="F33" s="18">
        <v>450.17</v>
      </c>
      <c r="G33" s="18">
        <f t="shared" ref="G33:G35" si="0">F33*E33</f>
        <v>450.17</v>
      </c>
    </row>
    <row r="34" spans="2:9" ht="15.75" x14ac:dyDescent="0.25">
      <c r="B34" s="10" t="s">
        <v>55</v>
      </c>
      <c r="C34" s="44" t="s">
        <v>66</v>
      </c>
      <c r="D34" s="45"/>
      <c r="E34" s="17">
        <v>1</v>
      </c>
      <c r="F34" s="18">
        <v>185</v>
      </c>
      <c r="G34" s="18">
        <f t="shared" si="0"/>
        <v>185</v>
      </c>
    </row>
    <row r="35" spans="2:9" ht="15.75" x14ac:dyDescent="0.25">
      <c r="B35" s="10" t="s">
        <v>62</v>
      </c>
      <c r="C35" s="42" t="s">
        <v>79</v>
      </c>
      <c r="D35" s="43"/>
      <c r="E35" s="17">
        <v>1</v>
      </c>
      <c r="F35" s="18">
        <v>424</v>
      </c>
      <c r="G35" s="18">
        <f t="shared" si="0"/>
        <v>424</v>
      </c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7"/>
      <c r="F38" s="18"/>
      <c r="G38" s="18"/>
    </row>
    <row r="39" spans="2:9" ht="15.75" x14ac:dyDescent="0.25">
      <c r="B39" s="10"/>
      <c r="C39" s="39"/>
      <c r="D39" s="41"/>
      <c r="E39" s="17"/>
      <c r="F39" s="18"/>
      <c r="G39" s="18"/>
    </row>
    <row r="40" spans="2:9" ht="15.75" x14ac:dyDescent="0.25">
      <c r="B40" s="10"/>
      <c r="C40" s="39"/>
      <c r="D40" s="41"/>
      <c r="E40" s="17"/>
      <c r="F40" s="18"/>
      <c r="G40" s="18"/>
    </row>
    <row r="41" spans="2:9" ht="15.75" x14ac:dyDescent="0.25">
      <c r="B41" s="10"/>
      <c r="C41" s="39"/>
      <c r="D41" s="41"/>
      <c r="E41" s="19"/>
      <c r="F41" s="12"/>
      <c r="G41" s="12"/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1933.67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528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2461.67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492.33400000000006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2954.0039999999999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246.16700000000003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49.23340000000001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2658.6035999999999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80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A1:H3"/>
    <mergeCell ref="D13:E13"/>
    <mergeCell ref="C15:F15"/>
    <mergeCell ref="B18:C18"/>
    <mergeCell ref="D18:E18"/>
    <mergeCell ref="F18:G18"/>
    <mergeCell ref="C41:D41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B46:F46"/>
    <mergeCell ref="B47:F47"/>
    <mergeCell ref="B48:F48"/>
    <mergeCell ref="B49:F49"/>
    <mergeCell ref="B42:F42"/>
    <mergeCell ref="B43:D43"/>
    <mergeCell ref="B44:F44"/>
    <mergeCell ref="B45:F45"/>
  </mergeCells>
  <phoneticPr fontId="12" type="noConversion"/>
  <pageMargins left="0.7" right="0.7" top="0.75" bottom="0.75" header="0.3" footer="0.3"/>
  <pageSetup paperSize="9" scale="62" orientation="portrait" horizontalDpi="4294967293" r:id="rId1"/>
  <ignoredErrors>
    <ignoredError sqref="G45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>
    <tabColor rgb="FFFFFF00"/>
  </sheetPr>
  <dimension ref="A1:I58"/>
  <sheetViews>
    <sheetView view="pageBreakPreview" topLeftCell="A19" zoomScale="90" zoomScaleNormal="100" zoomScaleSheetLayoutView="90" workbookViewId="0">
      <selection sqref="A1:H57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2026004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60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333212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182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81</v>
      </c>
      <c r="D32" s="43"/>
      <c r="E32" s="26">
        <v>1</v>
      </c>
      <c r="F32" s="18">
        <v>1074.5</v>
      </c>
      <c r="G32" s="18">
        <f>F32*E32</f>
        <v>1074.5</v>
      </c>
    </row>
    <row r="33" spans="2:9" ht="15.75" x14ac:dyDescent="0.25">
      <c r="B33" s="10" t="s">
        <v>53</v>
      </c>
      <c r="C33" s="42" t="s">
        <v>82</v>
      </c>
      <c r="D33" s="43"/>
      <c r="E33" s="26">
        <v>1</v>
      </c>
      <c r="F33" s="18">
        <v>3550.83</v>
      </c>
      <c r="G33" s="18">
        <f t="shared" ref="G33:G35" si="0">F33*E33</f>
        <v>3550.83</v>
      </c>
    </row>
    <row r="34" spans="2:9" ht="15.75" x14ac:dyDescent="0.25">
      <c r="B34" s="10" t="s">
        <v>55</v>
      </c>
      <c r="C34" s="42" t="s">
        <v>83</v>
      </c>
      <c r="D34" s="43"/>
      <c r="E34" s="26">
        <v>1</v>
      </c>
      <c r="F34" s="18">
        <v>980</v>
      </c>
      <c r="G34" s="18">
        <f t="shared" si="0"/>
        <v>980</v>
      </c>
    </row>
    <row r="35" spans="2:9" ht="15.75" x14ac:dyDescent="0.25">
      <c r="B35" s="10" t="s">
        <v>56</v>
      </c>
      <c r="C35" s="42" t="s">
        <v>84</v>
      </c>
      <c r="D35" s="43"/>
      <c r="E35" s="26">
        <v>1</v>
      </c>
      <c r="F35" s="18">
        <v>850</v>
      </c>
      <c r="G35" s="18">
        <f t="shared" si="0"/>
        <v>850</v>
      </c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7"/>
      <c r="F38" s="18"/>
      <c r="G38" s="18"/>
    </row>
    <row r="39" spans="2:9" ht="15.75" x14ac:dyDescent="0.25">
      <c r="B39" s="10"/>
      <c r="C39" s="39"/>
      <c r="D39" s="41"/>
      <c r="E39" s="17"/>
      <c r="F39" s="18"/>
      <c r="G39" s="18"/>
    </row>
    <row r="40" spans="2:9" ht="15.75" x14ac:dyDescent="0.25">
      <c r="B40" s="10"/>
      <c r="C40" s="39"/>
      <c r="D40" s="41"/>
      <c r="E40" s="19"/>
      <c r="F40" s="12"/>
      <c r="G40" s="12"/>
    </row>
    <row r="41" spans="2:9" ht="15.75" x14ac:dyDescent="0.25">
      <c r="B41" s="36" t="s">
        <v>37</v>
      </c>
      <c r="C41" s="37"/>
      <c r="D41" s="37"/>
      <c r="E41" s="37"/>
      <c r="F41" s="38"/>
      <c r="G41" s="13">
        <f>SUM(G32:G40)</f>
        <v>6455.33</v>
      </c>
    </row>
    <row r="42" spans="2:9" ht="15.75" x14ac:dyDescent="0.25">
      <c r="B42" s="39" t="s">
        <v>45</v>
      </c>
      <c r="C42" s="40"/>
      <c r="D42" s="41"/>
      <c r="E42" s="19"/>
      <c r="F42" s="12"/>
      <c r="G42" s="12">
        <v>1828</v>
      </c>
    </row>
    <row r="43" spans="2:9" ht="15.75" x14ac:dyDescent="0.25">
      <c r="B43" s="36" t="s">
        <v>38</v>
      </c>
      <c r="C43" s="37"/>
      <c r="D43" s="37"/>
      <c r="E43" s="37"/>
      <c r="F43" s="38"/>
      <c r="G43" s="13">
        <f>+G41+G42</f>
        <v>8283.33</v>
      </c>
    </row>
    <row r="44" spans="2:9" ht="15.75" x14ac:dyDescent="0.25">
      <c r="B44" s="36" t="s">
        <v>39</v>
      </c>
      <c r="C44" s="37"/>
      <c r="D44" s="37"/>
      <c r="E44" s="37"/>
      <c r="F44" s="38"/>
      <c r="G44" s="12">
        <f>+G43*I44</f>
        <v>1656.6660000000002</v>
      </c>
      <c r="I44" s="4">
        <v>0.2</v>
      </c>
    </row>
    <row r="45" spans="2:9" ht="15.75" x14ac:dyDescent="0.25">
      <c r="B45" s="36" t="s">
        <v>40</v>
      </c>
      <c r="C45" s="37"/>
      <c r="D45" s="37"/>
      <c r="E45" s="37"/>
      <c r="F45" s="38"/>
      <c r="G45" s="12">
        <f>+G43+G44</f>
        <v>9939.9959999999992</v>
      </c>
    </row>
    <row r="46" spans="2:9" ht="15.75" x14ac:dyDescent="0.25">
      <c r="B46" s="36" t="s">
        <v>41</v>
      </c>
      <c r="C46" s="37"/>
      <c r="D46" s="37"/>
      <c r="E46" s="37"/>
      <c r="F46" s="38"/>
      <c r="G46" s="12">
        <f>G43*I46</f>
        <v>828.33300000000008</v>
      </c>
      <c r="I46" s="4">
        <v>0.1</v>
      </c>
    </row>
    <row r="47" spans="2:9" ht="15.75" x14ac:dyDescent="0.25">
      <c r="B47" s="36" t="s">
        <v>42</v>
      </c>
      <c r="C47" s="37"/>
      <c r="D47" s="37"/>
      <c r="E47" s="37" t="s">
        <v>17</v>
      </c>
      <c r="F47" s="38"/>
      <c r="G47" s="12">
        <f>G46*I47</f>
        <v>165.66660000000002</v>
      </c>
      <c r="I47" s="4">
        <v>0.2</v>
      </c>
    </row>
    <row r="48" spans="2:9" ht="15.75" x14ac:dyDescent="0.25">
      <c r="B48" s="36" t="s">
        <v>43</v>
      </c>
      <c r="C48" s="37"/>
      <c r="D48" s="37"/>
      <c r="E48" s="37"/>
      <c r="F48" s="38"/>
      <c r="G48" s="20">
        <f>G45-G46-G47</f>
        <v>8945.9963999999982</v>
      </c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 t="s">
        <v>85</v>
      </c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 t="s">
        <v>44</v>
      </c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 t="s">
        <v>46</v>
      </c>
      <c r="C58" s="14"/>
      <c r="D58" s="14"/>
      <c r="E58" s="14"/>
      <c r="F58" s="14"/>
      <c r="G58" s="14"/>
    </row>
  </sheetData>
  <mergeCells count="24">
    <mergeCell ref="B47:F47"/>
    <mergeCell ref="B48:F48"/>
    <mergeCell ref="B41:F41"/>
    <mergeCell ref="B42:D42"/>
    <mergeCell ref="B43:F43"/>
    <mergeCell ref="B44:F44"/>
    <mergeCell ref="B45:F45"/>
    <mergeCell ref="B46:F46"/>
    <mergeCell ref="C40:D4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1:H3"/>
    <mergeCell ref="D13:E13"/>
    <mergeCell ref="C15:F15"/>
    <mergeCell ref="B18:C18"/>
    <mergeCell ref="D18:E18"/>
    <mergeCell ref="F18:G18"/>
  </mergeCells>
  <phoneticPr fontId="12" type="noConversion"/>
  <pageMargins left="0.7" right="0.7" top="0.75" bottom="0.75" header="0.3" footer="0.3"/>
  <pageSetup paperSize="9" scale="62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>
    <tabColor theme="9" tint="-0.499984740745262"/>
  </sheetPr>
  <dimension ref="A1:I59"/>
  <sheetViews>
    <sheetView view="pageBreakPreview" topLeftCell="A2" zoomScale="90" zoomScaleNormal="100" zoomScaleSheetLayoutView="90" workbookViewId="0">
      <selection activeCell="J39" sqref="J39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13.85546875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2026019</v>
      </c>
      <c r="F11" s="15" t="s">
        <v>31</v>
      </c>
      <c r="G11" s="24">
        <v>46140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93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94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194427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75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86</v>
      </c>
      <c r="D32" s="43"/>
      <c r="E32" s="26">
        <v>5</v>
      </c>
      <c r="F32" s="18">
        <v>125.4</v>
      </c>
      <c r="G32" s="18">
        <f>F32*E32</f>
        <v>627</v>
      </c>
    </row>
    <row r="33" spans="2:9" ht="15.75" x14ac:dyDescent="0.25">
      <c r="B33" s="10" t="s">
        <v>53</v>
      </c>
      <c r="C33" s="42" t="s">
        <v>57</v>
      </c>
      <c r="D33" s="43"/>
      <c r="E33" s="26">
        <v>1</v>
      </c>
      <c r="F33" s="18">
        <v>132</v>
      </c>
      <c r="G33" s="18">
        <f t="shared" ref="G33:G41" si="0">F33*E33</f>
        <v>132</v>
      </c>
    </row>
    <row r="34" spans="2:9" ht="15.75" x14ac:dyDescent="0.25">
      <c r="B34" s="10" t="s">
        <v>55</v>
      </c>
      <c r="C34" s="42" t="s">
        <v>58</v>
      </c>
      <c r="D34" s="43"/>
      <c r="E34" s="26">
        <v>1</v>
      </c>
      <c r="F34" s="18">
        <v>231</v>
      </c>
      <c r="G34" s="18">
        <f t="shared" si="0"/>
        <v>231</v>
      </c>
    </row>
    <row r="35" spans="2:9" ht="15.75" x14ac:dyDescent="0.25">
      <c r="B35" s="10" t="s">
        <v>56</v>
      </c>
      <c r="C35" s="42" t="s">
        <v>59</v>
      </c>
      <c r="D35" s="43"/>
      <c r="E35" s="26">
        <v>1</v>
      </c>
      <c r="F35" s="18">
        <v>265</v>
      </c>
      <c r="G35" s="18">
        <f t="shared" si="0"/>
        <v>265</v>
      </c>
    </row>
    <row r="36" spans="2:9" ht="15.75" x14ac:dyDescent="0.25">
      <c r="B36" s="10" t="s">
        <v>62</v>
      </c>
      <c r="C36" s="42" t="s">
        <v>87</v>
      </c>
      <c r="D36" s="43"/>
      <c r="E36" s="26">
        <v>1</v>
      </c>
      <c r="F36" s="18">
        <v>365</v>
      </c>
      <c r="G36" s="18">
        <f t="shared" si="0"/>
        <v>365</v>
      </c>
    </row>
    <row r="37" spans="2:9" ht="15.75" x14ac:dyDescent="0.25">
      <c r="B37" s="10" t="s">
        <v>63</v>
      </c>
      <c r="C37" s="48" t="s">
        <v>88</v>
      </c>
      <c r="D37" s="49"/>
      <c r="E37" s="3">
        <v>1</v>
      </c>
      <c r="F37" s="18">
        <v>550</v>
      </c>
      <c r="G37" s="18">
        <f t="shared" si="0"/>
        <v>550</v>
      </c>
    </row>
    <row r="38" spans="2:9" ht="15.75" x14ac:dyDescent="0.25">
      <c r="B38" s="10" t="s">
        <v>64</v>
      </c>
      <c r="C38" s="48" t="s">
        <v>89</v>
      </c>
      <c r="D38" s="49"/>
      <c r="E38" s="3">
        <v>3</v>
      </c>
      <c r="F38" s="18">
        <v>50</v>
      </c>
      <c r="G38" s="18">
        <f t="shared" si="0"/>
        <v>150</v>
      </c>
    </row>
    <row r="39" spans="2:9" ht="15.75" x14ac:dyDescent="0.25">
      <c r="B39" s="10" t="s">
        <v>65</v>
      </c>
      <c r="C39" s="48" t="s">
        <v>90</v>
      </c>
      <c r="D39" s="49"/>
      <c r="E39" s="3">
        <v>2</v>
      </c>
      <c r="F39" s="18">
        <v>13.25</v>
      </c>
      <c r="G39" s="18">
        <f t="shared" si="0"/>
        <v>26.5</v>
      </c>
    </row>
    <row r="40" spans="2:9" ht="15.75" x14ac:dyDescent="0.25">
      <c r="B40" s="10" t="s">
        <v>68</v>
      </c>
      <c r="C40" s="42" t="s">
        <v>91</v>
      </c>
      <c r="D40" s="43"/>
      <c r="E40" s="26">
        <v>1</v>
      </c>
      <c r="F40" s="18">
        <v>82.67</v>
      </c>
      <c r="G40" s="18">
        <f t="shared" si="0"/>
        <v>82.67</v>
      </c>
    </row>
    <row r="41" spans="2:9" ht="15.75" x14ac:dyDescent="0.25">
      <c r="B41" s="10" t="s">
        <v>72</v>
      </c>
      <c r="C41" s="48" t="s">
        <v>92</v>
      </c>
      <c r="D41" s="49"/>
      <c r="E41" s="3">
        <v>1</v>
      </c>
      <c r="F41" s="18">
        <v>200</v>
      </c>
      <c r="G41" s="18">
        <f t="shared" si="0"/>
        <v>200</v>
      </c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2629.17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500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3129.17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625.83400000000006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3755.0039999999999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312.91700000000003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62.583400000000012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3379.5036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95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C41:D41"/>
    <mergeCell ref="B48:F48"/>
    <mergeCell ref="B49:F49"/>
    <mergeCell ref="B42:F42"/>
    <mergeCell ref="B43:D43"/>
    <mergeCell ref="B44:F44"/>
    <mergeCell ref="B45:F45"/>
    <mergeCell ref="B46:F46"/>
    <mergeCell ref="B47:F47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A1:H3"/>
    <mergeCell ref="D13:E13"/>
    <mergeCell ref="C15:F15"/>
    <mergeCell ref="B18:C18"/>
    <mergeCell ref="D18:E18"/>
    <mergeCell ref="F18:G18"/>
  </mergeCells>
  <phoneticPr fontId="12" type="noConversion"/>
  <pageMargins left="0.7" right="0.7" top="0.75" bottom="0.75" header="0.3" footer="0.3"/>
  <pageSetup paperSize="9" scale="62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I59"/>
  <sheetViews>
    <sheetView view="pageBreakPreview" topLeftCell="A20" zoomScale="90" zoomScaleNormal="100" zoomScaleSheetLayoutView="90" workbookViewId="0">
      <selection sqref="A1:H5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85546875" style="1" customWidth="1"/>
    <col min="4" max="4" width="16.28515625" style="1" customWidth="1"/>
    <col min="5" max="5" width="21.28515625" style="1" customWidth="1"/>
    <col min="6" max="6" width="18.42578125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2026027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96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335243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183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97</v>
      </c>
      <c r="D32" s="43"/>
      <c r="E32" s="26">
        <v>1</v>
      </c>
      <c r="F32" s="18">
        <v>7950</v>
      </c>
      <c r="G32" s="18">
        <f>F32*E32</f>
        <v>7950</v>
      </c>
    </row>
    <row r="33" spans="2:9" ht="15.75" x14ac:dyDescent="0.25">
      <c r="B33" s="10" t="s">
        <v>53</v>
      </c>
      <c r="C33" s="42" t="s">
        <v>73</v>
      </c>
      <c r="D33" s="43"/>
      <c r="E33" s="26">
        <v>2</v>
      </c>
      <c r="F33" s="18">
        <v>980</v>
      </c>
      <c r="G33" s="18">
        <f t="shared" ref="G33:G38" si="0">F33*E33</f>
        <v>1960</v>
      </c>
    </row>
    <row r="34" spans="2:9" ht="15.75" x14ac:dyDescent="0.25">
      <c r="B34" s="10" t="s">
        <v>55</v>
      </c>
      <c r="C34" s="42" t="s">
        <v>74</v>
      </c>
      <c r="D34" s="43"/>
      <c r="E34" s="26">
        <v>1</v>
      </c>
      <c r="F34" s="18">
        <v>800</v>
      </c>
      <c r="G34" s="18">
        <f t="shared" si="0"/>
        <v>800</v>
      </c>
    </row>
    <row r="35" spans="2:9" ht="15.75" x14ac:dyDescent="0.25">
      <c r="B35" s="10" t="s">
        <v>56</v>
      </c>
      <c r="C35" s="42" t="s">
        <v>98</v>
      </c>
      <c r="D35" s="43"/>
      <c r="E35" s="27">
        <v>1</v>
      </c>
      <c r="F35" s="18">
        <v>120</v>
      </c>
      <c r="G35" s="18">
        <f t="shared" si="0"/>
        <v>120</v>
      </c>
    </row>
    <row r="36" spans="2:9" ht="15.75" x14ac:dyDescent="0.25">
      <c r="B36" s="10" t="s">
        <v>62</v>
      </c>
      <c r="C36" s="50" t="s">
        <v>99</v>
      </c>
      <c r="D36" s="50"/>
      <c r="E36" s="3">
        <v>1</v>
      </c>
      <c r="F36" s="18">
        <v>120</v>
      </c>
      <c r="G36" s="18">
        <f t="shared" si="0"/>
        <v>120</v>
      </c>
    </row>
    <row r="37" spans="2:9" ht="15.75" x14ac:dyDescent="0.25">
      <c r="B37" s="10" t="s">
        <v>63</v>
      </c>
      <c r="C37" s="44" t="s">
        <v>67</v>
      </c>
      <c r="D37" s="45"/>
      <c r="E37" s="3">
        <v>3</v>
      </c>
      <c r="F37" s="18">
        <v>150</v>
      </c>
      <c r="G37" s="18">
        <f t="shared" si="0"/>
        <v>450</v>
      </c>
    </row>
    <row r="38" spans="2:9" ht="15.75" x14ac:dyDescent="0.25">
      <c r="B38" s="10" t="s">
        <v>65</v>
      </c>
      <c r="C38" s="42" t="s">
        <v>70</v>
      </c>
      <c r="D38" s="43"/>
      <c r="E38" s="26">
        <v>4</v>
      </c>
      <c r="F38" s="18">
        <v>125</v>
      </c>
      <c r="G38" s="18">
        <f t="shared" si="0"/>
        <v>500</v>
      </c>
    </row>
    <row r="39" spans="2:9" ht="15.75" x14ac:dyDescent="0.25">
      <c r="B39" s="10"/>
      <c r="C39" s="39"/>
      <c r="D39" s="41"/>
      <c r="E39" s="17"/>
      <c r="F39" s="18"/>
      <c r="G39" s="18"/>
    </row>
    <row r="40" spans="2:9" ht="15.75" x14ac:dyDescent="0.25">
      <c r="B40" s="10"/>
      <c r="C40" s="39"/>
      <c r="D40" s="41"/>
      <c r="E40" s="17"/>
      <c r="F40" s="18"/>
      <c r="G40" s="18"/>
    </row>
    <row r="41" spans="2:9" ht="15.75" x14ac:dyDescent="0.25">
      <c r="B41" s="10"/>
      <c r="C41" s="39"/>
      <c r="D41" s="41"/>
      <c r="E41" s="19"/>
      <c r="F41" s="12"/>
      <c r="G41" s="12"/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11900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700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12600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2520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15120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1260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252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13608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100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B48:F48"/>
    <mergeCell ref="B49:F49"/>
    <mergeCell ref="B42:F42"/>
    <mergeCell ref="B43:D43"/>
    <mergeCell ref="B44:F44"/>
    <mergeCell ref="B45:F45"/>
    <mergeCell ref="B46:F46"/>
    <mergeCell ref="B47:F47"/>
    <mergeCell ref="C41:D41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A1:H3"/>
    <mergeCell ref="D13:E13"/>
    <mergeCell ref="C15:F15"/>
    <mergeCell ref="B18:C18"/>
    <mergeCell ref="D18:E18"/>
    <mergeCell ref="F18:G18"/>
  </mergeCells>
  <phoneticPr fontId="12" type="noConversion"/>
  <pageMargins left="0.7" right="0.7" top="0.75" bottom="0.75" header="0.3" footer="0.3"/>
  <pageSetup paperSize="9" scale="62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59"/>
  <sheetViews>
    <sheetView view="pageBreakPreview" topLeftCell="A20" zoomScale="90" zoomScaleNormal="100" zoomScaleSheetLayoutView="90" workbookViewId="0">
      <selection sqref="A1:H5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2026032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238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71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4206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184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101</v>
      </c>
      <c r="D32" s="43"/>
      <c r="E32" s="26">
        <v>7</v>
      </c>
      <c r="F32" s="18">
        <v>1395</v>
      </c>
      <c r="G32" s="18">
        <f>F32*E32</f>
        <v>9765</v>
      </c>
    </row>
    <row r="33" spans="2:9" ht="15.75" x14ac:dyDescent="0.25">
      <c r="B33" s="10" t="s">
        <v>53</v>
      </c>
      <c r="C33" s="42" t="s">
        <v>70</v>
      </c>
      <c r="D33" s="43"/>
      <c r="E33" s="26">
        <v>7</v>
      </c>
      <c r="F33" s="18">
        <v>170</v>
      </c>
      <c r="G33" s="18">
        <f t="shared" ref="G33" si="0">F33*E33</f>
        <v>1190</v>
      </c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7"/>
      <c r="F38" s="18"/>
      <c r="G38" s="18"/>
    </row>
    <row r="39" spans="2:9" ht="15.75" x14ac:dyDescent="0.25">
      <c r="B39" s="10"/>
      <c r="C39" s="39"/>
      <c r="D39" s="41"/>
      <c r="E39" s="17"/>
      <c r="F39" s="18"/>
      <c r="G39" s="18"/>
    </row>
    <row r="40" spans="2:9" ht="15.75" x14ac:dyDescent="0.25">
      <c r="B40" s="10"/>
      <c r="C40" s="39"/>
      <c r="D40" s="41"/>
      <c r="E40" s="17"/>
      <c r="F40" s="18"/>
      <c r="G40" s="18"/>
    </row>
    <row r="41" spans="2:9" ht="15.75" x14ac:dyDescent="0.25">
      <c r="B41" s="10"/>
      <c r="C41" s="39"/>
      <c r="D41" s="41"/>
      <c r="E41" s="19"/>
      <c r="F41" s="12"/>
      <c r="G41" s="12"/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10955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1100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12055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2411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14466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1205.5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241.10000000000002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13019.4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102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A1:H3"/>
    <mergeCell ref="D13:E13"/>
    <mergeCell ref="C15:F15"/>
    <mergeCell ref="B18:C18"/>
    <mergeCell ref="D18:E18"/>
    <mergeCell ref="F18:G18"/>
    <mergeCell ref="C41:D41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B48:F48"/>
    <mergeCell ref="B49:F49"/>
    <mergeCell ref="B42:F42"/>
    <mergeCell ref="B43:D43"/>
    <mergeCell ref="B44:F44"/>
    <mergeCell ref="B45:F45"/>
    <mergeCell ref="B46:F46"/>
    <mergeCell ref="B47:F47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I59"/>
  <sheetViews>
    <sheetView view="pageBreakPreview" topLeftCell="A20" zoomScale="90" zoomScaleNormal="100" zoomScaleSheetLayoutView="90" workbookViewId="0">
      <selection sqref="A1:H5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2026034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96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335708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185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103</v>
      </c>
      <c r="D32" s="43"/>
      <c r="E32" s="26">
        <v>1</v>
      </c>
      <c r="F32" s="18">
        <v>1380</v>
      </c>
      <c r="G32" s="18">
        <f>F32*E32</f>
        <v>1380</v>
      </c>
    </row>
    <row r="33" spans="2:9" ht="15.75" x14ac:dyDescent="0.25">
      <c r="B33" s="10" t="s">
        <v>53</v>
      </c>
      <c r="C33" s="42" t="s">
        <v>104</v>
      </c>
      <c r="D33" s="43"/>
      <c r="E33" s="26">
        <v>1</v>
      </c>
      <c r="F33" s="18">
        <v>3657</v>
      </c>
      <c r="G33" s="18">
        <f t="shared" ref="G33:G37" si="0">F33*E33</f>
        <v>3657</v>
      </c>
    </row>
    <row r="34" spans="2:9" ht="15.75" x14ac:dyDescent="0.25">
      <c r="B34" s="10" t="s">
        <v>55</v>
      </c>
      <c r="C34" s="42" t="s">
        <v>105</v>
      </c>
      <c r="D34" s="43"/>
      <c r="E34" s="26">
        <v>1</v>
      </c>
      <c r="F34" s="18">
        <v>500</v>
      </c>
      <c r="G34" s="18">
        <f t="shared" si="0"/>
        <v>500</v>
      </c>
    </row>
    <row r="35" spans="2:9" ht="15.75" x14ac:dyDescent="0.25">
      <c r="B35" s="10" t="s">
        <v>56</v>
      </c>
      <c r="C35" s="42" t="s">
        <v>106</v>
      </c>
      <c r="D35" s="43"/>
      <c r="E35" s="27">
        <v>1</v>
      </c>
      <c r="F35" s="18">
        <v>300</v>
      </c>
      <c r="G35" s="18">
        <f>F35*E35</f>
        <v>300</v>
      </c>
    </row>
    <row r="36" spans="2:9" ht="15.75" x14ac:dyDescent="0.25">
      <c r="B36" s="10" t="s">
        <v>62</v>
      </c>
      <c r="C36" s="50" t="s">
        <v>98</v>
      </c>
      <c r="D36" s="50"/>
      <c r="E36" s="3">
        <v>1</v>
      </c>
      <c r="F36" s="18">
        <v>154.66999999999999</v>
      </c>
      <c r="G36" s="18">
        <f t="shared" si="0"/>
        <v>154.66999999999999</v>
      </c>
    </row>
    <row r="37" spans="2:9" ht="15.75" x14ac:dyDescent="0.25">
      <c r="B37" s="10" t="s">
        <v>63</v>
      </c>
      <c r="C37" s="44" t="s">
        <v>99</v>
      </c>
      <c r="D37" s="45"/>
      <c r="E37" s="3">
        <v>1</v>
      </c>
      <c r="F37" s="18">
        <v>150</v>
      </c>
      <c r="G37" s="18">
        <f t="shared" si="0"/>
        <v>150</v>
      </c>
    </row>
    <row r="38" spans="2:9" ht="15.75" x14ac:dyDescent="0.25">
      <c r="B38" s="10"/>
      <c r="C38" s="39"/>
      <c r="D38" s="41"/>
      <c r="E38" s="17"/>
      <c r="F38" s="18"/>
      <c r="G38" s="18"/>
    </row>
    <row r="39" spans="2:9" ht="15.75" x14ac:dyDescent="0.25">
      <c r="B39" s="10"/>
      <c r="C39" s="39"/>
      <c r="D39" s="41"/>
      <c r="E39" s="17"/>
      <c r="F39" s="18"/>
      <c r="G39" s="18"/>
    </row>
    <row r="40" spans="2:9" ht="15.75" x14ac:dyDescent="0.25">
      <c r="B40" s="10"/>
      <c r="C40" s="39"/>
      <c r="D40" s="41"/>
      <c r="E40" s="17"/>
      <c r="F40" s="18"/>
      <c r="G40" s="18"/>
    </row>
    <row r="41" spans="2:9" ht="15.75" x14ac:dyDescent="0.25">
      <c r="B41" s="10"/>
      <c r="C41" s="39"/>
      <c r="D41" s="41"/>
      <c r="E41" s="19"/>
      <c r="F41" s="12"/>
      <c r="G41" s="12"/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6141.67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300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6441.67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1288.3340000000001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7730.0039999999999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644.16700000000003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128.83340000000001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6957.0035999999991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107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A1:H3"/>
    <mergeCell ref="D13:E13"/>
    <mergeCell ref="C15:F15"/>
    <mergeCell ref="B18:C18"/>
    <mergeCell ref="D18:E18"/>
    <mergeCell ref="F18:G18"/>
    <mergeCell ref="C41:D41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B48:F48"/>
    <mergeCell ref="B49:F49"/>
    <mergeCell ref="B42:F42"/>
    <mergeCell ref="B43:D43"/>
    <mergeCell ref="B44:F44"/>
    <mergeCell ref="B45:F45"/>
    <mergeCell ref="B46:F46"/>
    <mergeCell ref="B47:F47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I57"/>
  <sheetViews>
    <sheetView view="pageBreakPreview" topLeftCell="A18" zoomScale="90" zoomScaleNormal="100" zoomScaleSheetLayoutView="90" workbookViewId="0">
      <selection sqref="A1:H56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0.28515625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2026049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60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336425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186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108</v>
      </c>
      <c r="D32" s="43"/>
      <c r="E32" s="26">
        <v>1</v>
      </c>
      <c r="F32" s="18">
        <v>465</v>
      </c>
      <c r="G32" s="18">
        <f>F32*E32</f>
        <v>465</v>
      </c>
    </row>
    <row r="33" spans="2:9" ht="15.75" x14ac:dyDescent="0.25">
      <c r="B33" s="10" t="s">
        <v>53</v>
      </c>
      <c r="C33" s="42" t="s">
        <v>109</v>
      </c>
      <c r="D33" s="43"/>
      <c r="E33" s="26">
        <v>1</v>
      </c>
      <c r="F33" s="18">
        <v>800</v>
      </c>
      <c r="G33" s="18">
        <f t="shared" ref="G33:G34" si="0">F33*E33</f>
        <v>800</v>
      </c>
    </row>
    <row r="34" spans="2:9" ht="15.75" x14ac:dyDescent="0.25">
      <c r="B34" s="10" t="s">
        <v>55</v>
      </c>
      <c r="C34" s="42" t="s">
        <v>110</v>
      </c>
      <c r="D34" s="43"/>
      <c r="E34" s="26">
        <v>1</v>
      </c>
      <c r="F34" s="18">
        <v>950</v>
      </c>
      <c r="G34" s="18">
        <f t="shared" si="0"/>
        <v>950</v>
      </c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7"/>
      <c r="F38" s="18"/>
      <c r="G38" s="18"/>
    </row>
    <row r="39" spans="2:9" ht="15.75" x14ac:dyDescent="0.25">
      <c r="B39" s="10"/>
      <c r="C39" s="39"/>
      <c r="D39" s="41"/>
      <c r="E39" s="19"/>
      <c r="F39" s="12"/>
      <c r="G39" s="12"/>
    </row>
    <row r="40" spans="2:9" ht="15.75" x14ac:dyDescent="0.25">
      <c r="B40" s="36" t="s">
        <v>37</v>
      </c>
      <c r="C40" s="37"/>
      <c r="D40" s="37"/>
      <c r="E40" s="37"/>
      <c r="F40" s="38"/>
      <c r="G40" s="13">
        <f>SUM(G32:G39)</f>
        <v>2215</v>
      </c>
    </row>
    <row r="41" spans="2:9" ht="15.75" x14ac:dyDescent="0.25">
      <c r="B41" s="39" t="s">
        <v>45</v>
      </c>
      <c r="C41" s="40"/>
      <c r="D41" s="41"/>
      <c r="E41" s="19"/>
      <c r="F41" s="12"/>
      <c r="G41" s="12">
        <v>300</v>
      </c>
    </row>
    <row r="42" spans="2:9" ht="15.75" x14ac:dyDescent="0.25">
      <c r="B42" s="36" t="s">
        <v>38</v>
      </c>
      <c r="C42" s="37"/>
      <c r="D42" s="37"/>
      <c r="E42" s="37"/>
      <c r="F42" s="38"/>
      <c r="G42" s="13">
        <f>+G40+G41</f>
        <v>2515</v>
      </c>
    </row>
    <row r="43" spans="2:9" ht="15.75" x14ac:dyDescent="0.25">
      <c r="B43" s="36" t="s">
        <v>39</v>
      </c>
      <c r="C43" s="37"/>
      <c r="D43" s="37"/>
      <c r="E43" s="37"/>
      <c r="F43" s="38"/>
      <c r="G43" s="12">
        <f>+G42*I43</f>
        <v>503</v>
      </c>
      <c r="I43" s="4">
        <v>0.2</v>
      </c>
    </row>
    <row r="44" spans="2:9" ht="15.75" x14ac:dyDescent="0.25">
      <c r="B44" s="36" t="s">
        <v>40</v>
      </c>
      <c r="C44" s="37"/>
      <c r="D44" s="37"/>
      <c r="E44" s="37"/>
      <c r="F44" s="38"/>
      <c r="G44" s="12">
        <f>+G42+G43</f>
        <v>3018</v>
      </c>
    </row>
    <row r="45" spans="2:9" ht="15.75" x14ac:dyDescent="0.25">
      <c r="B45" s="36" t="s">
        <v>41</v>
      </c>
      <c r="C45" s="37"/>
      <c r="D45" s="37"/>
      <c r="E45" s="37"/>
      <c r="F45" s="38"/>
      <c r="G45" s="12">
        <f>G42*I45</f>
        <v>251.5</v>
      </c>
      <c r="I45" s="4">
        <v>0.1</v>
      </c>
    </row>
    <row r="46" spans="2:9" ht="15.75" x14ac:dyDescent="0.25">
      <c r="B46" s="36" t="s">
        <v>42</v>
      </c>
      <c r="C46" s="37"/>
      <c r="D46" s="37"/>
      <c r="E46" s="37" t="s">
        <v>17</v>
      </c>
      <c r="F46" s="38"/>
      <c r="G46" s="12">
        <f>G45*I46</f>
        <v>50.300000000000004</v>
      </c>
      <c r="I46" s="4">
        <v>0.2</v>
      </c>
    </row>
    <row r="47" spans="2:9" ht="15.75" x14ac:dyDescent="0.25">
      <c r="B47" s="36" t="s">
        <v>43</v>
      </c>
      <c r="C47" s="37"/>
      <c r="D47" s="37"/>
      <c r="E47" s="37"/>
      <c r="F47" s="38"/>
      <c r="G47" s="20">
        <f>G44-G45-G46</f>
        <v>2716.2</v>
      </c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 t="s">
        <v>111</v>
      </c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 t="s">
        <v>44</v>
      </c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 t="s">
        <v>46</v>
      </c>
      <c r="C57" s="14"/>
      <c r="D57" s="14"/>
      <c r="E57" s="14"/>
      <c r="F57" s="14"/>
      <c r="G57" s="14"/>
    </row>
  </sheetData>
  <mergeCells count="23">
    <mergeCell ref="C31:D31"/>
    <mergeCell ref="C32:D32"/>
    <mergeCell ref="C33:D33"/>
    <mergeCell ref="C34:D34"/>
    <mergeCell ref="A1:H3"/>
    <mergeCell ref="D13:E13"/>
    <mergeCell ref="C15:F15"/>
    <mergeCell ref="B18:C18"/>
    <mergeCell ref="D18:E18"/>
    <mergeCell ref="F18:G18"/>
    <mergeCell ref="C35:D35"/>
    <mergeCell ref="C36:D36"/>
    <mergeCell ref="C37:D37"/>
    <mergeCell ref="C38:D38"/>
    <mergeCell ref="C39:D39"/>
    <mergeCell ref="B46:F46"/>
    <mergeCell ref="B47:F47"/>
    <mergeCell ref="B40:F40"/>
    <mergeCell ref="B41:D41"/>
    <mergeCell ref="B42:F42"/>
    <mergeCell ref="B43:F43"/>
    <mergeCell ref="B44:F44"/>
    <mergeCell ref="B45:F45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I56"/>
  <sheetViews>
    <sheetView view="pageBreakPreview" topLeftCell="A17" zoomScale="90" zoomScaleNormal="100" zoomScaleSheetLayoutView="90" workbookViewId="0">
      <selection sqref="A1:H55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2026050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60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336615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187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112</v>
      </c>
      <c r="D32" s="43"/>
      <c r="E32" s="26">
        <v>1</v>
      </c>
      <c r="F32" s="18">
        <v>547.5</v>
      </c>
      <c r="G32" s="18">
        <f>F32*E32</f>
        <v>547.5</v>
      </c>
    </row>
    <row r="33" spans="2:9" ht="15.75" x14ac:dyDescent="0.25">
      <c r="B33" s="10" t="s">
        <v>53</v>
      </c>
      <c r="C33" s="42" t="s">
        <v>109</v>
      </c>
      <c r="D33" s="43"/>
      <c r="E33" s="26">
        <v>1</v>
      </c>
      <c r="F33" s="18">
        <v>150</v>
      </c>
      <c r="G33" s="18">
        <f t="shared" ref="G33" si="0">F33*E33</f>
        <v>150</v>
      </c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9"/>
      <c r="F38" s="12"/>
      <c r="G38" s="12"/>
    </row>
    <row r="39" spans="2:9" ht="15.75" x14ac:dyDescent="0.25">
      <c r="B39" s="36" t="s">
        <v>37</v>
      </c>
      <c r="C39" s="37"/>
      <c r="D39" s="37"/>
      <c r="E39" s="37"/>
      <c r="F39" s="38"/>
      <c r="G39" s="13">
        <f>SUM(G32:G38)</f>
        <v>697.5</v>
      </c>
    </row>
    <row r="40" spans="2:9" ht="15.75" x14ac:dyDescent="0.25">
      <c r="B40" s="39" t="s">
        <v>45</v>
      </c>
      <c r="C40" s="40"/>
      <c r="D40" s="41"/>
      <c r="E40" s="19"/>
      <c r="F40" s="12"/>
      <c r="G40" s="12">
        <v>200</v>
      </c>
    </row>
    <row r="41" spans="2:9" ht="15.75" x14ac:dyDescent="0.25">
      <c r="B41" s="36" t="s">
        <v>38</v>
      </c>
      <c r="C41" s="37"/>
      <c r="D41" s="37"/>
      <c r="E41" s="37"/>
      <c r="F41" s="38"/>
      <c r="G41" s="13">
        <f>+G39+G40</f>
        <v>897.5</v>
      </c>
    </row>
    <row r="42" spans="2:9" ht="15.75" x14ac:dyDescent="0.25">
      <c r="B42" s="36" t="s">
        <v>39</v>
      </c>
      <c r="C42" s="37"/>
      <c r="D42" s="37"/>
      <c r="E42" s="37"/>
      <c r="F42" s="38"/>
      <c r="G42" s="12">
        <f>+G41*I42</f>
        <v>179.5</v>
      </c>
      <c r="I42" s="4">
        <v>0.2</v>
      </c>
    </row>
    <row r="43" spans="2:9" ht="15.75" x14ac:dyDescent="0.25">
      <c r="B43" s="36" t="s">
        <v>40</v>
      </c>
      <c r="C43" s="37"/>
      <c r="D43" s="37"/>
      <c r="E43" s="37"/>
      <c r="F43" s="38"/>
      <c r="G43" s="12">
        <f>+G41+G42</f>
        <v>1077</v>
      </c>
    </row>
    <row r="44" spans="2:9" ht="15.75" x14ac:dyDescent="0.25">
      <c r="B44" s="36" t="s">
        <v>41</v>
      </c>
      <c r="C44" s="37"/>
      <c r="D44" s="37"/>
      <c r="E44" s="37"/>
      <c r="F44" s="38"/>
      <c r="G44" s="12">
        <f>G41*I44</f>
        <v>89.75</v>
      </c>
      <c r="I44" s="4">
        <v>0.1</v>
      </c>
    </row>
    <row r="45" spans="2:9" ht="15.75" x14ac:dyDescent="0.25">
      <c r="B45" s="36" t="s">
        <v>42</v>
      </c>
      <c r="C45" s="37"/>
      <c r="D45" s="37"/>
      <c r="E45" s="37" t="s">
        <v>17</v>
      </c>
      <c r="F45" s="38"/>
      <c r="G45" s="12">
        <f>G44*I45</f>
        <v>17.95</v>
      </c>
      <c r="I45" s="4">
        <v>0.2</v>
      </c>
    </row>
    <row r="46" spans="2:9" ht="15.75" x14ac:dyDescent="0.25">
      <c r="B46" s="36" t="s">
        <v>43</v>
      </c>
      <c r="C46" s="37"/>
      <c r="D46" s="37"/>
      <c r="E46" s="37"/>
      <c r="F46" s="38"/>
      <c r="G46" s="20">
        <f>G43-G44-G45</f>
        <v>969.3</v>
      </c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 t="s">
        <v>113</v>
      </c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 t="s">
        <v>44</v>
      </c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 t="s">
        <v>46</v>
      </c>
      <c r="C56" s="14"/>
      <c r="D56" s="14"/>
      <c r="E56" s="14"/>
      <c r="F56" s="14"/>
      <c r="G56" s="14"/>
    </row>
  </sheetData>
  <mergeCells count="22">
    <mergeCell ref="C31:D31"/>
    <mergeCell ref="C32:D32"/>
    <mergeCell ref="C33:D33"/>
    <mergeCell ref="A1:H3"/>
    <mergeCell ref="D13:E13"/>
    <mergeCell ref="C15:F15"/>
    <mergeCell ref="B18:C18"/>
    <mergeCell ref="D18:E18"/>
    <mergeCell ref="F18:G18"/>
    <mergeCell ref="C34:D34"/>
    <mergeCell ref="C35:D35"/>
    <mergeCell ref="C36:D36"/>
    <mergeCell ref="C37:D37"/>
    <mergeCell ref="C38:D38"/>
    <mergeCell ref="B45:F45"/>
    <mergeCell ref="B46:F46"/>
    <mergeCell ref="B39:F39"/>
    <mergeCell ref="B40:D40"/>
    <mergeCell ref="B41:F41"/>
    <mergeCell ref="B42:F42"/>
    <mergeCell ref="B43:F43"/>
    <mergeCell ref="B44:F44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59"/>
  <sheetViews>
    <sheetView view="pageBreakPreview" topLeftCell="A20" zoomScale="90" zoomScaleNormal="100" zoomScaleSheetLayoutView="90" workbookViewId="0">
      <selection sqref="A1:H5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2026053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239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49821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188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61</v>
      </c>
      <c r="D32" s="43"/>
      <c r="E32" s="26">
        <v>1</v>
      </c>
      <c r="F32" s="18">
        <v>1533</v>
      </c>
      <c r="G32" s="18">
        <f>F32*E32</f>
        <v>1533</v>
      </c>
    </row>
    <row r="33" spans="2:9" ht="15.75" x14ac:dyDescent="0.25">
      <c r="B33" s="10" t="s">
        <v>53</v>
      </c>
      <c r="C33" s="42" t="s">
        <v>77</v>
      </c>
      <c r="D33" s="43"/>
      <c r="E33" s="26">
        <v>1</v>
      </c>
      <c r="F33" s="18">
        <v>1314</v>
      </c>
      <c r="G33" s="18">
        <f t="shared" ref="G33:G40" si="0">F33*E33</f>
        <v>1314</v>
      </c>
    </row>
    <row r="34" spans="2:9" ht="15.75" x14ac:dyDescent="0.25">
      <c r="B34" s="10" t="s">
        <v>55</v>
      </c>
      <c r="C34" s="42" t="s">
        <v>114</v>
      </c>
      <c r="D34" s="43"/>
      <c r="E34" s="26">
        <v>1</v>
      </c>
      <c r="F34" s="18">
        <v>90</v>
      </c>
      <c r="G34" s="18">
        <f t="shared" si="0"/>
        <v>90</v>
      </c>
    </row>
    <row r="35" spans="2:9" ht="15.75" x14ac:dyDescent="0.25">
      <c r="B35" s="10" t="s">
        <v>56</v>
      </c>
      <c r="C35" s="42" t="s">
        <v>115</v>
      </c>
      <c r="D35" s="43"/>
      <c r="E35" s="26">
        <v>1</v>
      </c>
      <c r="F35" s="18">
        <v>90</v>
      </c>
      <c r="G35" s="18">
        <f t="shared" si="0"/>
        <v>90</v>
      </c>
    </row>
    <row r="36" spans="2:9" ht="15.75" x14ac:dyDescent="0.25">
      <c r="B36" s="10" t="s">
        <v>62</v>
      </c>
      <c r="C36" s="42" t="s">
        <v>67</v>
      </c>
      <c r="D36" s="43"/>
      <c r="E36" s="26">
        <v>3</v>
      </c>
      <c r="F36" s="18">
        <v>450</v>
      </c>
      <c r="G36" s="18">
        <f t="shared" si="0"/>
        <v>1350</v>
      </c>
    </row>
    <row r="37" spans="2:9" ht="15.75" x14ac:dyDescent="0.25">
      <c r="B37" s="10" t="s">
        <v>63</v>
      </c>
      <c r="C37" s="42" t="s">
        <v>97</v>
      </c>
      <c r="D37" s="43"/>
      <c r="E37" s="27">
        <v>1</v>
      </c>
      <c r="F37" s="18">
        <v>8890</v>
      </c>
      <c r="G37" s="18">
        <f t="shared" si="0"/>
        <v>8890</v>
      </c>
    </row>
    <row r="38" spans="2:9" ht="15.75" x14ac:dyDescent="0.25">
      <c r="B38" s="10" t="s">
        <v>64</v>
      </c>
      <c r="C38" s="50" t="s">
        <v>74</v>
      </c>
      <c r="D38" s="50"/>
      <c r="E38" s="3">
        <v>1</v>
      </c>
      <c r="F38" s="18">
        <v>980</v>
      </c>
      <c r="G38" s="18">
        <f t="shared" si="0"/>
        <v>980</v>
      </c>
    </row>
    <row r="39" spans="2:9" ht="15.75" x14ac:dyDescent="0.25">
      <c r="B39" s="10" t="s">
        <v>65</v>
      </c>
      <c r="C39" s="44" t="s">
        <v>73</v>
      </c>
      <c r="D39" s="45"/>
      <c r="E39" s="3">
        <v>1</v>
      </c>
      <c r="F39" s="18">
        <v>799.67</v>
      </c>
      <c r="G39" s="18">
        <f t="shared" si="0"/>
        <v>799.67</v>
      </c>
    </row>
    <row r="40" spans="2:9" ht="15.75" x14ac:dyDescent="0.25">
      <c r="B40" s="10" t="s">
        <v>68</v>
      </c>
      <c r="C40" s="42" t="s">
        <v>70</v>
      </c>
      <c r="D40" s="43"/>
      <c r="E40" s="26">
        <v>4</v>
      </c>
      <c r="F40" s="18">
        <v>125</v>
      </c>
      <c r="G40" s="18">
        <f t="shared" si="0"/>
        <v>500</v>
      </c>
    </row>
    <row r="41" spans="2:9" ht="15.75" x14ac:dyDescent="0.25">
      <c r="B41" s="10"/>
      <c r="C41" s="39"/>
      <c r="D41" s="41"/>
      <c r="E41" s="19"/>
      <c r="F41" s="12"/>
      <c r="G41" s="12"/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15546.67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800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16346.67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3269.3340000000003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19616.004000000001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1634.6670000000001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326.93340000000006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17654.403599999998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116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C36:D36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C35:D35"/>
    <mergeCell ref="C37:D37"/>
    <mergeCell ref="C38:D38"/>
    <mergeCell ref="C39:D39"/>
    <mergeCell ref="C40:D40"/>
    <mergeCell ref="C41:D41"/>
    <mergeCell ref="B48:F48"/>
    <mergeCell ref="B49:F49"/>
    <mergeCell ref="B42:F42"/>
    <mergeCell ref="B43:D43"/>
    <mergeCell ref="B44:F44"/>
    <mergeCell ref="B45:F45"/>
    <mergeCell ref="B46:F46"/>
    <mergeCell ref="B47:F47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56"/>
  <sheetViews>
    <sheetView view="pageBreakPreview" topLeftCell="A17" zoomScale="90" zoomScaleNormal="100" zoomScaleSheetLayoutView="90" workbookViewId="0">
      <selection sqref="A1:H55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2026054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117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208797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189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118</v>
      </c>
      <c r="D32" s="43"/>
      <c r="E32" s="26">
        <v>2</v>
      </c>
      <c r="F32" s="18">
        <v>665</v>
      </c>
      <c r="G32" s="18">
        <f>F32*E32</f>
        <v>1330</v>
      </c>
    </row>
    <row r="33" spans="2:9" ht="15.75" x14ac:dyDescent="0.25">
      <c r="B33" s="10" t="s">
        <v>53</v>
      </c>
      <c r="C33" s="42" t="s">
        <v>119</v>
      </c>
      <c r="D33" s="43"/>
      <c r="E33" s="26">
        <v>1</v>
      </c>
      <c r="F33" s="18">
        <v>420</v>
      </c>
      <c r="G33" s="18">
        <f t="shared" ref="G33" si="0">F33*E33</f>
        <v>420</v>
      </c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9"/>
      <c r="F38" s="12"/>
      <c r="G38" s="12"/>
    </row>
    <row r="39" spans="2:9" ht="15.75" x14ac:dyDescent="0.25">
      <c r="B39" s="36" t="s">
        <v>37</v>
      </c>
      <c r="C39" s="37"/>
      <c r="D39" s="37"/>
      <c r="E39" s="37"/>
      <c r="F39" s="38"/>
      <c r="G39" s="13">
        <f>SUM(G32:G38)</f>
        <v>1750</v>
      </c>
    </row>
    <row r="40" spans="2:9" ht="15.75" x14ac:dyDescent="0.25">
      <c r="B40" s="39" t="s">
        <v>45</v>
      </c>
      <c r="C40" s="40"/>
      <c r="D40" s="41"/>
      <c r="E40" s="19"/>
      <c r="F40" s="12"/>
      <c r="G40" s="12">
        <v>150</v>
      </c>
    </row>
    <row r="41" spans="2:9" ht="15.75" x14ac:dyDescent="0.25">
      <c r="B41" s="36" t="s">
        <v>38</v>
      </c>
      <c r="C41" s="37"/>
      <c r="D41" s="37"/>
      <c r="E41" s="37"/>
      <c r="F41" s="38"/>
      <c r="G41" s="13">
        <f>+G39+G40</f>
        <v>1900</v>
      </c>
    </row>
    <row r="42" spans="2:9" ht="15.75" x14ac:dyDescent="0.25">
      <c r="B42" s="36" t="s">
        <v>39</v>
      </c>
      <c r="C42" s="37"/>
      <c r="D42" s="37"/>
      <c r="E42" s="37"/>
      <c r="F42" s="38"/>
      <c r="G42" s="12">
        <f>+G41*I42</f>
        <v>380</v>
      </c>
      <c r="I42" s="4">
        <v>0.2</v>
      </c>
    </row>
    <row r="43" spans="2:9" ht="15.75" x14ac:dyDescent="0.25">
      <c r="B43" s="36" t="s">
        <v>40</v>
      </c>
      <c r="C43" s="37"/>
      <c r="D43" s="37"/>
      <c r="E43" s="37"/>
      <c r="F43" s="38"/>
      <c r="G43" s="12">
        <f>+G41+G42</f>
        <v>2280</v>
      </c>
    </row>
    <row r="44" spans="2:9" ht="15.75" x14ac:dyDescent="0.25">
      <c r="B44" s="36" t="s">
        <v>41</v>
      </c>
      <c r="C44" s="37"/>
      <c r="D44" s="37"/>
      <c r="E44" s="37"/>
      <c r="F44" s="38"/>
      <c r="G44" s="12">
        <f>G41*I44</f>
        <v>190</v>
      </c>
      <c r="I44" s="4">
        <v>0.1</v>
      </c>
    </row>
    <row r="45" spans="2:9" ht="15.75" x14ac:dyDescent="0.25">
      <c r="B45" s="36" t="s">
        <v>42</v>
      </c>
      <c r="C45" s="37"/>
      <c r="D45" s="37"/>
      <c r="E45" s="37" t="s">
        <v>17</v>
      </c>
      <c r="F45" s="38"/>
      <c r="G45" s="12">
        <f>G44*I45</f>
        <v>38</v>
      </c>
      <c r="I45" s="4">
        <v>0.2</v>
      </c>
    </row>
    <row r="46" spans="2:9" ht="15.75" x14ac:dyDescent="0.25">
      <c r="B46" s="36" t="s">
        <v>43</v>
      </c>
      <c r="C46" s="37"/>
      <c r="D46" s="37"/>
      <c r="E46" s="37"/>
      <c r="F46" s="38"/>
      <c r="G46" s="20">
        <f>G43-G44-G45</f>
        <v>2052</v>
      </c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 t="s">
        <v>120</v>
      </c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 t="s">
        <v>44</v>
      </c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 t="s">
        <v>46</v>
      </c>
      <c r="C56" s="14"/>
      <c r="D56" s="14"/>
      <c r="E56" s="14"/>
      <c r="F56" s="14"/>
      <c r="G56" s="14"/>
    </row>
  </sheetData>
  <mergeCells count="22">
    <mergeCell ref="C31:D31"/>
    <mergeCell ref="C32:D32"/>
    <mergeCell ref="C33:D33"/>
    <mergeCell ref="A1:H3"/>
    <mergeCell ref="D13:E13"/>
    <mergeCell ref="C15:F15"/>
    <mergeCell ref="B18:C18"/>
    <mergeCell ref="D18:E18"/>
    <mergeCell ref="F18:G18"/>
    <mergeCell ref="C34:D34"/>
    <mergeCell ref="C35:D35"/>
    <mergeCell ref="C36:D36"/>
    <mergeCell ref="C37:D37"/>
    <mergeCell ref="C38:D38"/>
    <mergeCell ref="B45:F45"/>
    <mergeCell ref="B46:F46"/>
    <mergeCell ref="B39:F39"/>
    <mergeCell ref="B40:D40"/>
    <mergeCell ref="B41:F41"/>
    <mergeCell ref="B42:F42"/>
    <mergeCell ref="B43:F43"/>
    <mergeCell ref="B44:F44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I56"/>
  <sheetViews>
    <sheetView view="pageBreakPreview" topLeftCell="A17" zoomScale="90" zoomScaleNormal="100" zoomScaleSheetLayoutView="90" workbookViewId="0">
      <selection activeCell="J37" sqref="J37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2026072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241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121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53199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190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122</v>
      </c>
      <c r="D32" s="43"/>
      <c r="E32" s="26">
        <v>1</v>
      </c>
      <c r="F32" s="18">
        <v>3050</v>
      </c>
      <c r="G32" s="18">
        <f>F32*E32</f>
        <v>3050</v>
      </c>
    </row>
    <row r="33" spans="2:9" ht="15.75" x14ac:dyDescent="0.25">
      <c r="B33" s="10" t="s">
        <v>53</v>
      </c>
      <c r="C33" s="42" t="s">
        <v>123</v>
      </c>
      <c r="D33" s="43"/>
      <c r="E33" s="26">
        <v>1</v>
      </c>
      <c r="F33" s="18">
        <v>5400</v>
      </c>
      <c r="G33" s="18">
        <f t="shared" ref="G33" si="0">F33*E33</f>
        <v>5400</v>
      </c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9"/>
      <c r="F38" s="12"/>
      <c r="G38" s="12"/>
    </row>
    <row r="39" spans="2:9" ht="15.75" x14ac:dyDescent="0.25">
      <c r="B39" s="36" t="s">
        <v>37</v>
      </c>
      <c r="C39" s="37"/>
      <c r="D39" s="37"/>
      <c r="E39" s="37"/>
      <c r="F39" s="38"/>
      <c r="G39" s="13">
        <f>SUM(G32:G38)</f>
        <v>8450</v>
      </c>
    </row>
    <row r="40" spans="2:9" ht="15.75" x14ac:dyDescent="0.25">
      <c r="B40" s="39" t="s">
        <v>45</v>
      </c>
      <c r="C40" s="40"/>
      <c r="D40" s="41"/>
      <c r="E40" s="19"/>
      <c r="F40" s="12"/>
      <c r="G40" s="12">
        <v>500</v>
      </c>
    </row>
    <row r="41" spans="2:9" ht="15.75" x14ac:dyDescent="0.25">
      <c r="B41" s="36" t="s">
        <v>38</v>
      </c>
      <c r="C41" s="37"/>
      <c r="D41" s="37"/>
      <c r="E41" s="37"/>
      <c r="F41" s="38"/>
      <c r="G41" s="13">
        <f>+G39+G40</f>
        <v>8950</v>
      </c>
    </row>
    <row r="42" spans="2:9" ht="15.75" x14ac:dyDescent="0.25">
      <c r="B42" s="36" t="s">
        <v>39</v>
      </c>
      <c r="C42" s="37"/>
      <c r="D42" s="37"/>
      <c r="E42" s="37"/>
      <c r="F42" s="38"/>
      <c r="G42" s="12">
        <f>+G41*I42</f>
        <v>1790</v>
      </c>
      <c r="I42" s="4">
        <v>0.2</v>
      </c>
    </row>
    <row r="43" spans="2:9" ht="15.75" x14ac:dyDescent="0.25">
      <c r="B43" s="36" t="s">
        <v>40</v>
      </c>
      <c r="C43" s="37"/>
      <c r="D43" s="37"/>
      <c r="E43" s="37"/>
      <c r="F43" s="38"/>
      <c r="G43" s="12">
        <f>+G41+G42</f>
        <v>10740</v>
      </c>
    </row>
    <row r="44" spans="2:9" ht="15.75" x14ac:dyDescent="0.25">
      <c r="B44" s="36" t="s">
        <v>41</v>
      </c>
      <c r="C44" s="37"/>
      <c r="D44" s="37"/>
      <c r="E44" s="37"/>
      <c r="F44" s="38"/>
      <c r="G44" s="12">
        <f>G41*I44</f>
        <v>895</v>
      </c>
      <c r="I44" s="4">
        <v>0.1</v>
      </c>
    </row>
    <row r="45" spans="2:9" ht="15.75" x14ac:dyDescent="0.25">
      <c r="B45" s="36" t="s">
        <v>42</v>
      </c>
      <c r="C45" s="37"/>
      <c r="D45" s="37"/>
      <c r="E45" s="37" t="s">
        <v>17</v>
      </c>
      <c r="F45" s="38"/>
      <c r="G45" s="12">
        <f>G44*I45</f>
        <v>179</v>
      </c>
      <c r="I45" s="4">
        <v>0.2</v>
      </c>
    </row>
    <row r="46" spans="2:9" ht="15.75" x14ac:dyDescent="0.25">
      <c r="B46" s="36" t="s">
        <v>43</v>
      </c>
      <c r="C46" s="37"/>
      <c r="D46" s="37"/>
      <c r="E46" s="37"/>
      <c r="F46" s="38"/>
      <c r="G46" s="20">
        <f>G43-G44-G45</f>
        <v>9666</v>
      </c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 t="s">
        <v>124</v>
      </c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 t="s">
        <v>44</v>
      </c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 t="s">
        <v>46</v>
      </c>
      <c r="C56" s="14"/>
      <c r="D56" s="14"/>
      <c r="E56" s="14"/>
      <c r="F56" s="14"/>
      <c r="G56" s="14"/>
    </row>
  </sheetData>
  <mergeCells count="22">
    <mergeCell ref="C31:D31"/>
    <mergeCell ref="C32:D32"/>
    <mergeCell ref="C33:D33"/>
    <mergeCell ref="A1:H3"/>
    <mergeCell ref="D13:E13"/>
    <mergeCell ref="C15:F15"/>
    <mergeCell ref="B18:C18"/>
    <mergeCell ref="D18:E18"/>
    <mergeCell ref="F18:G18"/>
    <mergeCell ref="C34:D34"/>
    <mergeCell ref="C35:D35"/>
    <mergeCell ref="C36:D36"/>
    <mergeCell ref="C37:D37"/>
    <mergeCell ref="C38:D38"/>
    <mergeCell ref="B45:F45"/>
    <mergeCell ref="B46:F46"/>
    <mergeCell ref="B39:F39"/>
    <mergeCell ref="B40:D40"/>
    <mergeCell ref="B41:F41"/>
    <mergeCell ref="B42:F42"/>
    <mergeCell ref="B43:F43"/>
    <mergeCell ref="B44:F44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57"/>
  <sheetViews>
    <sheetView view="pageBreakPreview" topLeftCell="A6" zoomScale="90" zoomScaleNormal="100" zoomScaleSheetLayoutView="90" workbookViewId="0">
      <selection sqref="A1:H56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2026075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60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339402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220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125</v>
      </c>
      <c r="D32" s="43"/>
      <c r="E32" s="26">
        <v>1</v>
      </c>
      <c r="F32" s="18">
        <v>800</v>
      </c>
      <c r="G32" s="18">
        <f>F32*E32</f>
        <v>800</v>
      </c>
    </row>
    <row r="33" spans="2:9" ht="15.75" x14ac:dyDescent="0.25">
      <c r="B33" s="10" t="s">
        <v>53</v>
      </c>
      <c r="C33" s="51" t="s">
        <v>126</v>
      </c>
      <c r="D33" s="52"/>
      <c r="E33" s="26">
        <v>1</v>
      </c>
      <c r="F33" s="18">
        <v>400</v>
      </c>
      <c r="G33" s="18">
        <f t="shared" ref="G33:G34" si="0">F33*E33</f>
        <v>400</v>
      </c>
    </row>
    <row r="34" spans="2:9" ht="15.75" x14ac:dyDescent="0.25">
      <c r="B34" s="10" t="s">
        <v>55</v>
      </c>
      <c r="C34" s="42" t="s">
        <v>127</v>
      </c>
      <c r="D34" s="43"/>
      <c r="E34" s="26">
        <v>2</v>
      </c>
      <c r="F34" s="18">
        <v>300</v>
      </c>
      <c r="G34" s="18">
        <f t="shared" si="0"/>
        <v>600</v>
      </c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7"/>
      <c r="F38" s="18"/>
      <c r="G38" s="18"/>
    </row>
    <row r="39" spans="2:9" ht="15.75" x14ac:dyDescent="0.25">
      <c r="B39" s="10"/>
      <c r="C39" s="39"/>
      <c r="D39" s="41"/>
      <c r="E39" s="19"/>
      <c r="F39" s="12"/>
      <c r="G39" s="12"/>
    </row>
    <row r="40" spans="2:9" ht="15.75" x14ac:dyDescent="0.25">
      <c r="B40" s="36" t="s">
        <v>37</v>
      </c>
      <c r="C40" s="37"/>
      <c r="D40" s="37"/>
      <c r="E40" s="37"/>
      <c r="F40" s="38"/>
      <c r="G40" s="13">
        <f>SUM(G32:G39)</f>
        <v>1800</v>
      </c>
    </row>
    <row r="41" spans="2:9" ht="15.75" x14ac:dyDescent="0.25">
      <c r="B41" s="39" t="s">
        <v>45</v>
      </c>
      <c r="C41" s="40"/>
      <c r="D41" s="41"/>
      <c r="E41" s="19"/>
      <c r="F41" s="12"/>
      <c r="G41" s="12">
        <v>100</v>
      </c>
    </row>
    <row r="42" spans="2:9" ht="15.75" x14ac:dyDescent="0.25">
      <c r="B42" s="36" t="s">
        <v>38</v>
      </c>
      <c r="C42" s="37"/>
      <c r="D42" s="37"/>
      <c r="E42" s="37"/>
      <c r="F42" s="38"/>
      <c r="G42" s="13">
        <f>+G40+G41</f>
        <v>1900</v>
      </c>
    </row>
    <row r="43" spans="2:9" ht="15.75" x14ac:dyDescent="0.25">
      <c r="B43" s="36" t="s">
        <v>39</v>
      </c>
      <c r="C43" s="37"/>
      <c r="D43" s="37"/>
      <c r="E43" s="37"/>
      <c r="F43" s="38"/>
      <c r="G43" s="12">
        <f>+G42*I43</f>
        <v>380</v>
      </c>
      <c r="I43" s="4">
        <v>0.2</v>
      </c>
    </row>
    <row r="44" spans="2:9" ht="15.75" x14ac:dyDescent="0.25">
      <c r="B44" s="36" t="s">
        <v>40</v>
      </c>
      <c r="C44" s="37"/>
      <c r="D44" s="37"/>
      <c r="E44" s="37"/>
      <c r="F44" s="38"/>
      <c r="G44" s="12">
        <f>+G42+G43</f>
        <v>2280</v>
      </c>
    </row>
    <row r="45" spans="2:9" ht="15.75" x14ac:dyDescent="0.25">
      <c r="B45" s="36" t="s">
        <v>41</v>
      </c>
      <c r="C45" s="37"/>
      <c r="D45" s="37"/>
      <c r="E45" s="37"/>
      <c r="F45" s="38"/>
      <c r="G45" s="12">
        <f>G42*I45</f>
        <v>190</v>
      </c>
      <c r="I45" s="4">
        <v>0.1</v>
      </c>
    </row>
    <row r="46" spans="2:9" ht="15.75" x14ac:dyDescent="0.25">
      <c r="B46" s="36" t="s">
        <v>42</v>
      </c>
      <c r="C46" s="37"/>
      <c r="D46" s="37"/>
      <c r="E46" s="37" t="s">
        <v>17</v>
      </c>
      <c r="F46" s="38"/>
      <c r="G46" s="12">
        <f>G45*I46</f>
        <v>38</v>
      </c>
      <c r="I46" s="4">
        <v>0.2</v>
      </c>
    </row>
    <row r="47" spans="2:9" ht="15.75" x14ac:dyDescent="0.25">
      <c r="B47" s="36" t="s">
        <v>43</v>
      </c>
      <c r="C47" s="37"/>
      <c r="D47" s="37"/>
      <c r="E47" s="37"/>
      <c r="F47" s="38"/>
      <c r="G47" s="20">
        <f>G44-G45-G46</f>
        <v>2052</v>
      </c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 t="s">
        <v>128</v>
      </c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 t="s">
        <v>44</v>
      </c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 t="s">
        <v>46</v>
      </c>
      <c r="C57" s="14"/>
      <c r="D57" s="14"/>
      <c r="E57" s="14"/>
      <c r="F57" s="14"/>
      <c r="G57" s="14"/>
    </row>
  </sheetData>
  <mergeCells count="23">
    <mergeCell ref="A1:H3"/>
    <mergeCell ref="D13:E13"/>
    <mergeCell ref="C15:F15"/>
    <mergeCell ref="B18:C18"/>
    <mergeCell ref="D18:E18"/>
    <mergeCell ref="F18:G18"/>
    <mergeCell ref="C39:D39"/>
    <mergeCell ref="C31:D31"/>
    <mergeCell ref="C32:D32"/>
    <mergeCell ref="C33:D33"/>
    <mergeCell ref="C34:D34"/>
    <mergeCell ref="C35:D35"/>
    <mergeCell ref="C36:D36"/>
    <mergeCell ref="C37:D37"/>
    <mergeCell ref="C38:D38"/>
    <mergeCell ref="B46:F46"/>
    <mergeCell ref="B47:F47"/>
    <mergeCell ref="B40:F40"/>
    <mergeCell ref="B41:D41"/>
    <mergeCell ref="B42:F42"/>
    <mergeCell ref="B43:F43"/>
    <mergeCell ref="B44:F44"/>
    <mergeCell ref="B45:F45"/>
  </mergeCells>
  <phoneticPr fontId="12" type="noConversion"/>
  <pageMargins left="0.7" right="0.7" top="0.75" bottom="0.75" header="0.3" footer="0.3"/>
  <pageSetup paperSize="9" scale="62" orientation="portrait" horizont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56"/>
  <sheetViews>
    <sheetView view="pageBreakPreview" topLeftCell="A8" zoomScale="90" zoomScaleNormal="100" zoomScaleSheetLayoutView="90" workbookViewId="0">
      <selection sqref="A1:H55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2026076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242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129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85036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221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130</v>
      </c>
      <c r="D32" s="43"/>
      <c r="E32" s="26">
        <v>1</v>
      </c>
      <c r="F32" s="18">
        <v>800</v>
      </c>
      <c r="G32" s="18">
        <f>F32*E32</f>
        <v>800</v>
      </c>
    </row>
    <row r="33" spans="2:9" ht="15" customHeight="1" x14ac:dyDescent="0.25">
      <c r="B33" s="10" t="s">
        <v>53</v>
      </c>
      <c r="C33" s="42" t="s">
        <v>131</v>
      </c>
      <c r="D33" s="43"/>
      <c r="E33" s="26">
        <v>1</v>
      </c>
      <c r="F33" s="18">
        <v>300</v>
      </c>
      <c r="G33" s="18">
        <f t="shared" ref="G33" si="0">F33*E33</f>
        <v>300</v>
      </c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9"/>
      <c r="F38" s="12"/>
      <c r="G38" s="12"/>
    </row>
    <row r="39" spans="2:9" ht="15.75" x14ac:dyDescent="0.25">
      <c r="B39" s="36" t="s">
        <v>37</v>
      </c>
      <c r="C39" s="37"/>
      <c r="D39" s="37"/>
      <c r="E39" s="37"/>
      <c r="F39" s="38"/>
      <c r="G39" s="13">
        <f>SUM(G32:G38)</f>
        <v>1100</v>
      </c>
    </row>
    <row r="40" spans="2:9" ht="15.75" x14ac:dyDescent="0.25">
      <c r="B40" s="39" t="s">
        <v>45</v>
      </c>
      <c r="C40" s="40"/>
      <c r="D40" s="41"/>
      <c r="E40" s="19"/>
      <c r="F40" s="12"/>
      <c r="G40" s="12">
        <v>500</v>
      </c>
    </row>
    <row r="41" spans="2:9" ht="15.75" x14ac:dyDescent="0.25">
      <c r="B41" s="36" t="s">
        <v>38</v>
      </c>
      <c r="C41" s="37"/>
      <c r="D41" s="37"/>
      <c r="E41" s="37"/>
      <c r="F41" s="38"/>
      <c r="G41" s="13">
        <f>+G39+G40</f>
        <v>1600</v>
      </c>
    </row>
    <row r="42" spans="2:9" ht="15.75" x14ac:dyDescent="0.25">
      <c r="B42" s="36" t="s">
        <v>39</v>
      </c>
      <c r="C42" s="37"/>
      <c r="D42" s="37"/>
      <c r="E42" s="37"/>
      <c r="F42" s="38"/>
      <c r="G42" s="12">
        <f>+G41*I42</f>
        <v>320</v>
      </c>
      <c r="I42" s="4">
        <v>0.2</v>
      </c>
    </row>
    <row r="43" spans="2:9" ht="15.75" x14ac:dyDescent="0.25">
      <c r="B43" s="36" t="s">
        <v>40</v>
      </c>
      <c r="C43" s="37"/>
      <c r="D43" s="37"/>
      <c r="E43" s="37"/>
      <c r="F43" s="38"/>
      <c r="G43" s="12">
        <f>+G41+G42</f>
        <v>1920</v>
      </c>
    </row>
    <row r="44" spans="2:9" ht="15.75" x14ac:dyDescent="0.25">
      <c r="B44" s="36" t="s">
        <v>41</v>
      </c>
      <c r="C44" s="37"/>
      <c r="D44" s="37"/>
      <c r="E44" s="37"/>
      <c r="F44" s="38"/>
      <c r="G44" s="12">
        <f>G41*I44</f>
        <v>160</v>
      </c>
      <c r="I44" s="4">
        <v>0.1</v>
      </c>
    </row>
    <row r="45" spans="2:9" ht="15.75" x14ac:dyDescent="0.25">
      <c r="B45" s="36" t="s">
        <v>42</v>
      </c>
      <c r="C45" s="37"/>
      <c r="D45" s="37"/>
      <c r="E45" s="37" t="s">
        <v>17</v>
      </c>
      <c r="F45" s="38"/>
      <c r="G45" s="12">
        <f>G44*I45</f>
        <v>32</v>
      </c>
      <c r="I45" s="4">
        <v>0.2</v>
      </c>
    </row>
    <row r="46" spans="2:9" ht="15.75" x14ac:dyDescent="0.25">
      <c r="B46" s="36" t="s">
        <v>43</v>
      </c>
      <c r="C46" s="37"/>
      <c r="D46" s="37"/>
      <c r="E46" s="37"/>
      <c r="F46" s="38"/>
      <c r="G46" s="20">
        <f>G43-G44-G45</f>
        <v>1728</v>
      </c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 t="s">
        <v>132</v>
      </c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 t="s">
        <v>44</v>
      </c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 t="s">
        <v>46</v>
      </c>
      <c r="C56" s="14"/>
      <c r="D56" s="14"/>
      <c r="E56" s="14"/>
      <c r="F56" s="14"/>
      <c r="G56" s="14"/>
    </row>
  </sheetData>
  <mergeCells count="22">
    <mergeCell ref="B42:F42"/>
    <mergeCell ref="B43:F43"/>
    <mergeCell ref="B44:F44"/>
    <mergeCell ref="B45:F45"/>
    <mergeCell ref="B46:F46"/>
    <mergeCell ref="B41:F41"/>
    <mergeCell ref="C31:D31"/>
    <mergeCell ref="C32:D32"/>
    <mergeCell ref="C33:D33"/>
    <mergeCell ref="C34:D34"/>
    <mergeCell ref="C35:D35"/>
    <mergeCell ref="C36:D36"/>
    <mergeCell ref="C37:D37"/>
    <mergeCell ref="C38:D38"/>
    <mergeCell ref="B39:F39"/>
    <mergeCell ref="B40:D40"/>
    <mergeCell ref="A1:H3"/>
    <mergeCell ref="D13:E13"/>
    <mergeCell ref="C15:F15"/>
    <mergeCell ref="B18:C18"/>
    <mergeCell ref="D18:E18"/>
    <mergeCell ref="F18:G18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55"/>
  <sheetViews>
    <sheetView view="pageBreakPreview" zoomScale="90" zoomScaleNormal="100" zoomScaleSheetLayoutView="90" workbookViewId="0">
      <selection sqref="A1:H54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2026074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243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121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53425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222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67</v>
      </c>
      <c r="D32" s="43"/>
      <c r="E32" s="26">
        <v>5</v>
      </c>
      <c r="F32" s="18">
        <v>222</v>
      </c>
      <c r="G32" s="18">
        <f>F32*E32</f>
        <v>1110</v>
      </c>
    </row>
    <row r="33" spans="2:9" ht="15" customHeight="1" x14ac:dyDescent="0.25">
      <c r="B33" s="10" t="s">
        <v>53</v>
      </c>
      <c r="C33" s="42" t="s">
        <v>133</v>
      </c>
      <c r="D33" s="43"/>
      <c r="E33" s="26">
        <v>2</v>
      </c>
      <c r="F33" s="18">
        <v>1320</v>
      </c>
      <c r="G33" s="18">
        <f t="shared" ref="G33:G37" si="0">F33*E33</f>
        <v>2640</v>
      </c>
    </row>
    <row r="34" spans="2:9" ht="15.75" x14ac:dyDescent="0.25">
      <c r="B34" s="10" t="s">
        <v>55</v>
      </c>
      <c r="C34" s="42" t="s">
        <v>134</v>
      </c>
      <c r="D34" s="43"/>
      <c r="E34" s="26">
        <v>2</v>
      </c>
      <c r="F34" s="18">
        <v>2344.585</v>
      </c>
      <c r="G34" s="18">
        <f t="shared" si="0"/>
        <v>4689.17</v>
      </c>
    </row>
    <row r="35" spans="2:9" ht="15.75" x14ac:dyDescent="0.25">
      <c r="B35" s="10" t="s">
        <v>56</v>
      </c>
      <c r="C35" s="42" t="s">
        <v>135</v>
      </c>
      <c r="D35" s="43"/>
      <c r="E35" s="26">
        <v>1</v>
      </c>
      <c r="F35" s="18">
        <v>1100</v>
      </c>
      <c r="G35" s="18">
        <f>F35*E35</f>
        <v>1100</v>
      </c>
    </row>
    <row r="36" spans="2:9" ht="15.75" x14ac:dyDescent="0.25">
      <c r="B36" s="10" t="s">
        <v>62</v>
      </c>
      <c r="C36" s="53" t="s">
        <v>136</v>
      </c>
      <c r="D36" s="54"/>
      <c r="E36" s="26">
        <v>1</v>
      </c>
      <c r="F36" s="18">
        <v>4650</v>
      </c>
      <c r="G36" s="18">
        <f t="shared" si="0"/>
        <v>4650</v>
      </c>
    </row>
    <row r="37" spans="2:9" ht="15.75" x14ac:dyDescent="0.25">
      <c r="B37" s="10" t="s">
        <v>63</v>
      </c>
      <c r="C37" s="48" t="s">
        <v>137</v>
      </c>
      <c r="D37" s="49"/>
      <c r="E37" s="3">
        <v>2</v>
      </c>
      <c r="F37" s="18">
        <v>150</v>
      </c>
      <c r="G37" s="18">
        <f t="shared" si="0"/>
        <v>300</v>
      </c>
    </row>
    <row r="38" spans="2:9" ht="15.75" x14ac:dyDescent="0.25">
      <c r="B38" s="36" t="s">
        <v>37</v>
      </c>
      <c r="C38" s="37"/>
      <c r="D38" s="37"/>
      <c r="E38" s="37"/>
      <c r="F38" s="38"/>
      <c r="G38" s="13">
        <f>SUM(G32:G37)</f>
        <v>14489.17</v>
      </c>
    </row>
    <row r="39" spans="2:9" ht="15.75" x14ac:dyDescent="0.25">
      <c r="B39" s="39" t="s">
        <v>45</v>
      </c>
      <c r="C39" s="40"/>
      <c r="D39" s="41"/>
      <c r="E39" s="19"/>
      <c r="F39" s="12"/>
      <c r="G39" s="12">
        <v>2000</v>
      </c>
    </row>
    <row r="40" spans="2:9" ht="15.75" x14ac:dyDescent="0.25">
      <c r="B40" s="36" t="s">
        <v>38</v>
      </c>
      <c r="C40" s="37"/>
      <c r="D40" s="37"/>
      <c r="E40" s="37"/>
      <c r="F40" s="38"/>
      <c r="G40" s="13">
        <f>+G38+G39</f>
        <v>16489.169999999998</v>
      </c>
    </row>
    <row r="41" spans="2:9" ht="15.75" x14ac:dyDescent="0.25">
      <c r="B41" s="36" t="s">
        <v>39</v>
      </c>
      <c r="C41" s="37"/>
      <c r="D41" s="37"/>
      <c r="E41" s="37"/>
      <c r="F41" s="38"/>
      <c r="G41" s="12">
        <f>+G40*I41</f>
        <v>3297.8339999999998</v>
      </c>
      <c r="I41" s="4">
        <v>0.2</v>
      </c>
    </row>
    <row r="42" spans="2:9" ht="15.75" x14ac:dyDescent="0.25">
      <c r="B42" s="36" t="s">
        <v>40</v>
      </c>
      <c r="C42" s="37"/>
      <c r="D42" s="37"/>
      <c r="E42" s="37"/>
      <c r="F42" s="38"/>
      <c r="G42" s="12">
        <f>+G40+G41</f>
        <v>19787.003999999997</v>
      </c>
    </row>
    <row r="43" spans="2:9" ht="15.75" x14ac:dyDescent="0.25">
      <c r="B43" s="36" t="s">
        <v>41</v>
      </c>
      <c r="C43" s="37"/>
      <c r="D43" s="37"/>
      <c r="E43" s="37"/>
      <c r="F43" s="38"/>
      <c r="G43" s="12">
        <f>G40*I43</f>
        <v>1648.9169999999999</v>
      </c>
      <c r="I43" s="4">
        <v>0.1</v>
      </c>
    </row>
    <row r="44" spans="2:9" ht="15.75" x14ac:dyDescent="0.25">
      <c r="B44" s="36" t="s">
        <v>42</v>
      </c>
      <c r="C44" s="37"/>
      <c r="D44" s="37"/>
      <c r="E44" s="37" t="s">
        <v>17</v>
      </c>
      <c r="F44" s="38"/>
      <c r="G44" s="12">
        <f>G43*I44</f>
        <v>329.78340000000003</v>
      </c>
      <c r="I44" s="4">
        <v>0.2</v>
      </c>
    </row>
    <row r="45" spans="2:9" ht="15.75" x14ac:dyDescent="0.25">
      <c r="B45" s="36" t="s">
        <v>43</v>
      </c>
      <c r="C45" s="37"/>
      <c r="D45" s="37"/>
      <c r="E45" s="37"/>
      <c r="F45" s="38"/>
      <c r="G45" s="20">
        <f>G42-G43-G44</f>
        <v>17808.303599999996</v>
      </c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 t="s">
        <v>138</v>
      </c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 t="s">
        <v>44</v>
      </c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 t="s">
        <v>46</v>
      </c>
      <c r="C55" s="14"/>
      <c r="D55" s="14"/>
      <c r="E55" s="14"/>
      <c r="F55" s="14"/>
      <c r="G55" s="14"/>
    </row>
  </sheetData>
  <mergeCells count="21">
    <mergeCell ref="B41:F41"/>
    <mergeCell ref="B42:F42"/>
    <mergeCell ref="B43:F43"/>
    <mergeCell ref="B44:F44"/>
    <mergeCell ref="B45:F45"/>
    <mergeCell ref="C37:D37"/>
    <mergeCell ref="B38:F38"/>
    <mergeCell ref="B39:D39"/>
    <mergeCell ref="B40:F40"/>
    <mergeCell ref="C31:D31"/>
    <mergeCell ref="C32:D32"/>
    <mergeCell ref="C33:D33"/>
    <mergeCell ref="C34:D34"/>
    <mergeCell ref="C35:D35"/>
    <mergeCell ref="C36:D36"/>
    <mergeCell ref="A1:H3"/>
    <mergeCell ref="D13:E13"/>
    <mergeCell ref="C15:F15"/>
    <mergeCell ref="B18:C18"/>
    <mergeCell ref="D18:E18"/>
    <mergeCell ref="F18:G18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65"/>
  <sheetViews>
    <sheetView view="pageBreakPreview" topLeftCell="A7" zoomScale="90" zoomScaleNormal="100" zoomScaleSheetLayoutView="90" workbookViewId="0">
      <selection sqref="A1:H64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2026082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244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117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209485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223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139</v>
      </c>
      <c r="D32" s="43"/>
      <c r="E32" s="26">
        <v>7</v>
      </c>
      <c r="F32" s="18">
        <v>120</v>
      </c>
      <c r="G32" s="18">
        <f>F32*E32</f>
        <v>840</v>
      </c>
    </row>
    <row r="33" spans="2:7" ht="15" customHeight="1" x14ac:dyDescent="0.25">
      <c r="B33" s="10" t="s">
        <v>53</v>
      </c>
      <c r="C33" s="42" t="s">
        <v>57</v>
      </c>
      <c r="D33" s="43"/>
      <c r="E33" s="26">
        <v>1</v>
      </c>
      <c r="F33" s="18">
        <v>159</v>
      </c>
      <c r="G33" s="18">
        <f t="shared" ref="G33:G47" si="0">F33*E33</f>
        <v>159</v>
      </c>
    </row>
    <row r="34" spans="2:7" ht="15.75" x14ac:dyDescent="0.25">
      <c r="B34" s="10" t="s">
        <v>55</v>
      </c>
      <c r="C34" s="42" t="s">
        <v>59</v>
      </c>
      <c r="D34" s="43"/>
      <c r="E34" s="26">
        <v>1</v>
      </c>
      <c r="F34" s="18">
        <v>219</v>
      </c>
      <c r="G34" s="18">
        <f t="shared" si="0"/>
        <v>219</v>
      </c>
    </row>
    <row r="35" spans="2:7" ht="15.75" x14ac:dyDescent="0.25">
      <c r="B35" s="10" t="s">
        <v>56</v>
      </c>
      <c r="C35" s="42" t="s">
        <v>58</v>
      </c>
      <c r="D35" s="43"/>
      <c r="E35" s="26">
        <v>1</v>
      </c>
      <c r="F35" s="18">
        <v>438</v>
      </c>
      <c r="G35" s="18">
        <f t="shared" si="0"/>
        <v>438</v>
      </c>
    </row>
    <row r="36" spans="2:7" ht="15.75" x14ac:dyDescent="0.25">
      <c r="B36" s="10" t="s">
        <v>62</v>
      </c>
      <c r="C36" s="42" t="s">
        <v>140</v>
      </c>
      <c r="D36" s="43"/>
      <c r="E36" s="26">
        <v>1</v>
      </c>
      <c r="F36" s="18">
        <v>450</v>
      </c>
      <c r="G36" s="18">
        <f t="shared" si="0"/>
        <v>450</v>
      </c>
    </row>
    <row r="37" spans="2:7" ht="15.75" x14ac:dyDescent="0.25">
      <c r="B37" s="10" t="s">
        <v>63</v>
      </c>
      <c r="C37" s="48" t="s">
        <v>141</v>
      </c>
      <c r="D37" s="49"/>
      <c r="E37" s="3">
        <v>1</v>
      </c>
      <c r="F37" s="18">
        <v>689</v>
      </c>
      <c r="G37" s="18">
        <f t="shared" si="0"/>
        <v>689</v>
      </c>
    </row>
    <row r="38" spans="2:7" ht="15.75" x14ac:dyDescent="0.25">
      <c r="B38" s="10" t="s">
        <v>64</v>
      </c>
      <c r="C38" s="42" t="s">
        <v>142</v>
      </c>
      <c r="D38" s="43"/>
      <c r="E38" s="26">
        <v>2</v>
      </c>
      <c r="F38" s="18">
        <v>757.9</v>
      </c>
      <c r="G38" s="18">
        <f t="shared" si="0"/>
        <v>1515.8</v>
      </c>
    </row>
    <row r="39" spans="2:7" ht="15.75" x14ac:dyDescent="0.25">
      <c r="B39" s="10" t="s">
        <v>65</v>
      </c>
      <c r="C39" s="42" t="s">
        <v>143</v>
      </c>
      <c r="D39" s="43"/>
      <c r="E39" s="26">
        <v>1</v>
      </c>
      <c r="F39" s="18">
        <v>954</v>
      </c>
      <c r="G39" s="18">
        <f t="shared" si="0"/>
        <v>954</v>
      </c>
    </row>
    <row r="40" spans="2:7" ht="15.75" x14ac:dyDescent="0.25">
      <c r="B40" s="10" t="s">
        <v>68</v>
      </c>
      <c r="C40" s="48" t="s">
        <v>144</v>
      </c>
      <c r="D40" s="49"/>
      <c r="E40" s="3">
        <v>2</v>
      </c>
      <c r="F40" s="18">
        <v>300</v>
      </c>
      <c r="G40" s="18">
        <f t="shared" si="0"/>
        <v>600</v>
      </c>
    </row>
    <row r="41" spans="2:7" ht="15.75" x14ac:dyDescent="0.25">
      <c r="B41" s="10" t="s">
        <v>151</v>
      </c>
      <c r="C41" s="48" t="s">
        <v>145</v>
      </c>
      <c r="D41" s="49"/>
      <c r="E41" s="3">
        <v>5</v>
      </c>
      <c r="F41" s="18">
        <v>20</v>
      </c>
      <c r="G41" s="18">
        <f t="shared" si="0"/>
        <v>100</v>
      </c>
    </row>
    <row r="42" spans="2:7" ht="15.75" x14ac:dyDescent="0.25">
      <c r="B42" s="10" t="s">
        <v>152</v>
      </c>
      <c r="C42" s="42" t="s">
        <v>146</v>
      </c>
      <c r="D42" s="43"/>
      <c r="E42" s="26">
        <v>5</v>
      </c>
      <c r="F42" s="18">
        <v>20</v>
      </c>
      <c r="G42" s="18">
        <f t="shared" si="0"/>
        <v>100</v>
      </c>
    </row>
    <row r="43" spans="2:7" ht="15.75" x14ac:dyDescent="0.25">
      <c r="B43" s="10" t="s">
        <v>153</v>
      </c>
      <c r="C43" s="48" t="s">
        <v>147</v>
      </c>
      <c r="D43" s="49"/>
      <c r="E43" s="3">
        <v>1</v>
      </c>
      <c r="F43" s="18">
        <v>583</v>
      </c>
      <c r="G43" s="18">
        <f t="shared" si="0"/>
        <v>583</v>
      </c>
    </row>
    <row r="44" spans="2:7" ht="15.75" x14ac:dyDescent="0.25">
      <c r="B44" s="10" t="s">
        <v>154</v>
      </c>
      <c r="C44" s="48" t="s">
        <v>148</v>
      </c>
      <c r="D44" s="49"/>
      <c r="E44" s="3">
        <v>1</v>
      </c>
      <c r="F44" s="18">
        <v>600</v>
      </c>
      <c r="G44" s="18">
        <f t="shared" si="0"/>
        <v>600</v>
      </c>
    </row>
    <row r="45" spans="2:7" ht="15.75" x14ac:dyDescent="0.25">
      <c r="B45" s="10" t="s">
        <v>155</v>
      </c>
      <c r="C45" s="48" t="s">
        <v>66</v>
      </c>
      <c r="D45" s="49"/>
      <c r="E45" s="3">
        <v>5</v>
      </c>
      <c r="F45" s="18">
        <v>159</v>
      </c>
      <c r="G45" s="18">
        <f t="shared" si="0"/>
        <v>795</v>
      </c>
    </row>
    <row r="46" spans="2:7" ht="15.75" x14ac:dyDescent="0.25">
      <c r="B46" s="10" t="s">
        <v>156</v>
      </c>
      <c r="C46" s="48" t="s">
        <v>149</v>
      </c>
      <c r="D46" s="49"/>
      <c r="E46" s="3">
        <v>2</v>
      </c>
      <c r="F46" s="28">
        <v>323.3</v>
      </c>
      <c r="G46" s="18">
        <f t="shared" si="0"/>
        <v>646.6</v>
      </c>
    </row>
    <row r="47" spans="2:7" ht="15.75" x14ac:dyDescent="0.25">
      <c r="B47" s="10" t="s">
        <v>157</v>
      </c>
      <c r="C47" s="48" t="s">
        <v>150</v>
      </c>
      <c r="D47" s="49"/>
      <c r="E47" s="3">
        <v>1</v>
      </c>
      <c r="F47" s="28">
        <v>40</v>
      </c>
      <c r="G47" s="18">
        <f t="shared" si="0"/>
        <v>40</v>
      </c>
    </row>
    <row r="48" spans="2:7" ht="15.75" x14ac:dyDescent="0.25">
      <c r="B48" s="36"/>
      <c r="C48" s="37"/>
      <c r="D48" s="37"/>
      <c r="E48" s="37"/>
      <c r="F48" s="38"/>
      <c r="G48" s="13">
        <f>SUM(G32:G47)</f>
        <v>8729.4</v>
      </c>
    </row>
    <row r="49" spans="2:9" ht="15.75" x14ac:dyDescent="0.25">
      <c r="B49" s="39" t="s">
        <v>45</v>
      </c>
      <c r="C49" s="40"/>
      <c r="D49" s="41"/>
      <c r="E49" s="19"/>
      <c r="F49" s="12"/>
      <c r="G49" s="12">
        <v>1450.17</v>
      </c>
    </row>
    <row r="50" spans="2:9" ht="15.75" x14ac:dyDescent="0.25">
      <c r="B50" s="36" t="s">
        <v>38</v>
      </c>
      <c r="C50" s="37"/>
      <c r="D50" s="37"/>
      <c r="E50" s="37"/>
      <c r="F50" s="38"/>
      <c r="G50" s="13">
        <f>+G48+G49</f>
        <v>10179.57</v>
      </c>
    </row>
    <row r="51" spans="2:9" ht="15.75" x14ac:dyDescent="0.25">
      <c r="B51" s="36" t="s">
        <v>39</v>
      </c>
      <c r="C51" s="37"/>
      <c r="D51" s="37"/>
      <c r="E51" s="37"/>
      <c r="F51" s="38"/>
      <c r="G51" s="12">
        <f>+G50*I51</f>
        <v>2035.914</v>
      </c>
      <c r="I51" s="4">
        <v>0.2</v>
      </c>
    </row>
    <row r="52" spans="2:9" ht="15.75" x14ac:dyDescent="0.25">
      <c r="B52" s="36" t="s">
        <v>40</v>
      </c>
      <c r="C52" s="37"/>
      <c r="D52" s="37"/>
      <c r="E52" s="37"/>
      <c r="F52" s="38"/>
      <c r="G52" s="12">
        <f>+G50+G51</f>
        <v>12215.484</v>
      </c>
    </row>
    <row r="53" spans="2:9" ht="15.75" x14ac:dyDescent="0.25">
      <c r="B53" s="36" t="s">
        <v>41</v>
      </c>
      <c r="C53" s="37"/>
      <c r="D53" s="37"/>
      <c r="E53" s="37"/>
      <c r="F53" s="38"/>
      <c r="G53" s="12">
        <f>G50*I53</f>
        <v>1017.957</v>
      </c>
      <c r="I53" s="4">
        <v>0.1</v>
      </c>
    </row>
    <row r="54" spans="2:9" ht="15.75" x14ac:dyDescent="0.25">
      <c r="B54" s="36" t="s">
        <v>42</v>
      </c>
      <c r="C54" s="37"/>
      <c r="D54" s="37"/>
      <c r="E54" s="37" t="s">
        <v>17</v>
      </c>
      <c r="F54" s="38"/>
      <c r="G54" s="12">
        <f>G53*I54</f>
        <v>203.59140000000002</v>
      </c>
      <c r="I54" s="4">
        <v>0.2</v>
      </c>
    </row>
    <row r="55" spans="2:9" ht="15.75" x14ac:dyDescent="0.25">
      <c r="B55" s="36" t="s">
        <v>43</v>
      </c>
      <c r="C55" s="37"/>
      <c r="D55" s="37"/>
      <c r="E55" s="37"/>
      <c r="F55" s="38"/>
      <c r="G55" s="20">
        <f>G52-G53-G54</f>
        <v>10993.935600000001</v>
      </c>
    </row>
    <row r="56" spans="2:9" ht="15.75" x14ac:dyDescent="0.25">
      <c r="B56" s="14"/>
      <c r="C56" s="14"/>
      <c r="D56" s="14"/>
      <c r="E56" s="14"/>
      <c r="F56" s="14"/>
      <c r="G56" s="14"/>
    </row>
    <row r="57" spans="2:9" ht="15.75" x14ac:dyDescent="0.25">
      <c r="B57" s="14" t="s">
        <v>158</v>
      </c>
      <c r="C57" s="14"/>
      <c r="D57" s="14"/>
      <c r="E57" s="14"/>
      <c r="F57" s="14"/>
      <c r="G57" s="14"/>
    </row>
    <row r="58" spans="2:9" ht="15.75" x14ac:dyDescent="0.25">
      <c r="B58" s="14"/>
      <c r="C58" s="14"/>
      <c r="D58" s="14"/>
      <c r="E58" s="14"/>
      <c r="F58" s="14"/>
      <c r="G58" s="14"/>
    </row>
    <row r="59" spans="2:9" ht="15.75" x14ac:dyDescent="0.25">
      <c r="B59" s="14"/>
      <c r="C59" s="14"/>
      <c r="D59" s="14"/>
      <c r="E59" s="14"/>
      <c r="F59" s="14"/>
      <c r="G59" s="14"/>
    </row>
    <row r="60" spans="2:9" ht="15.75" x14ac:dyDescent="0.25">
      <c r="B60" s="14"/>
      <c r="C60" s="14"/>
      <c r="D60" s="14"/>
      <c r="E60" s="14" t="s">
        <v>44</v>
      </c>
      <c r="F60" s="14"/>
      <c r="G60" s="14"/>
    </row>
    <row r="61" spans="2:9" ht="15.75" x14ac:dyDescent="0.25">
      <c r="B61" s="14"/>
      <c r="C61" s="14"/>
      <c r="D61" s="14"/>
      <c r="E61" s="14"/>
      <c r="F61" s="14"/>
      <c r="G61" s="14"/>
    </row>
    <row r="62" spans="2:9" ht="15.75" x14ac:dyDescent="0.25">
      <c r="B62" s="14"/>
      <c r="C62" s="14"/>
      <c r="D62" s="14"/>
      <c r="E62" s="14"/>
      <c r="F62" s="14"/>
      <c r="G62" s="14"/>
    </row>
    <row r="63" spans="2:9" ht="15.75" x14ac:dyDescent="0.25">
      <c r="B63" s="14"/>
      <c r="C63" s="14"/>
      <c r="D63" s="14"/>
      <c r="E63" s="14"/>
      <c r="F63" s="14"/>
      <c r="G63" s="14"/>
    </row>
    <row r="64" spans="2:9" ht="15.75" x14ac:dyDescent="0.25">
      <c r="B64" s="14"/>
      <c r="C64" s="14"/>
      <c r="D64" s="14"/>
      <c r="E64" s="14"/>
      <c r="F64" s="14"/>
      <c r="G64" s="14"/>
    </row>
    <row r="65" spans="2:7" ht="15.75" x14ac:dyDescent="0.25">
      <c r="B65" s="14" t="s">
        <v>46</v>
      </c>
      <c r="C65" s="14"/>
      <c r="D65" s="14"/>
      <c r="E65" s="14"/>
      <c r="F65" s="14"/>
      <c r="G65" s="14"/>
    </row>
  </sheetData>
  <mergeCells count="31">
    <mergeCell ref="B51:F51"/>
    <mergeCell ref="B52:F52"/>
    <mergeCell ref="B53:F53"/>
    <mergeCell ref="B54:F54"/>
    <mergeCell ref="B55:F55"/>
    <mergeCell ref="C36:D36"/>
    <mergeCell ref="C37:D37"/>
    <mergeCell ref="C38:D38"/>
    <mergeCell ref="C39:D39"/>
    <mergeCell ref="C42:D42"/>
    <mergeCell ref="B50:F50"/>
    <mergeCell ref="C44:D44"/>
    <mergeCell ref="C43:D43"/>
    <mergeCell ref="C40:D40"/>
    <mergeCell ref="C41:D41"/>
    <mergeCell ref="C45:D45"/>
    <mergeCell ref="C46:D46"/>
    <mergeCell ref="C47:D47"/>
    <mergeCell ref="B48:F48"/>
    <mergeCell ref="B49:D49"/>
    <mergeCell ref="C31:D31"/>
    <mergeCell ref="C32:D32"/>
    <mergeCell ref="C33:D33"/>
    <mergeCell ref="C34:D34"/>
    <mergeCell ref="C35:D35"/>
    <mergeCell ref="A1:H3"/>
    <mergeCell ref="D13:E13"/>
    <mergeCell ref="C15:F15"/>
    <mergeCell ref="B18:C18"/>
    <mergeCell ref="D18:E18"/>
    <mergeCell ref="F18:G18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56"/>
  <sheetViews>
    <sheetView view="pageBreakPreview" zoomScale="90" zoomScaleNormal="100" zoomScaleSheetLayoutView="90" workbookViewId="0">
      <selection sqref="A1:H55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2026079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159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209449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224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136</v>
      </c>
      <c r="D32" s="43"/>
      <c r="E32" s="26">
        <v>1</v>
      </c>
      <c r="F32" s="18">
        <v>6717.15</v>
      </c>
      <c r="G32" s="18">
        <f>F32*E32</f>
        <v>6717.15</v>
      </c>
    </row>
    <row r="33" spans="2:9" ht="15" customHeight="1" x14ac:dyDescent="0.25">
      <c r="B33" s="10" t="s">
        <v>53</v>
      </c>
      <c r="C33" s="42" t="s">
        <v>160</v>
      </c>
      <c r="D33" s="43"/>
      <c r="E33" s="26">
        <v>1</v>
      </c>
      <c r="F33" s="18">
        <v>2517.5</v>
      </c>
      <c r="G33" s="18">
        <f t="shared" ref="G33:G34" si="0">F33*E33</f>
        <v>2517.5</v>
      </c>
    </row>
    <row r="34" spans="2:9" ht="15.75" x14ac:dyDescent="0.25">
      <c r="B34" s="10" t="s">
        <v>55</v>
      </c>
      <c r="C34" s="42" t="s">
        <v>161</v>
      </c>
      <c r="D34" s="43"/>
      <c r="E34" s="26">
        <v>1</v>
      </c>
      <c r="F34" s="18">
        <v>2650</v>
      </c>
      <c r="G34" s="18">
        <f t="shared" si="0"/>
        <v>2650</v>
      </c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7"/>
      <c r="F37" s="18"/>
      <c r="G37" s="18"/>
    </row>
    <row r="38" spans="2:9" ht="15.75" x14ac:dyDescent="0.25">
      <c r="B38" s="10"/>
      <c r="C38" s="39"/>
      <c r="D38" s="41"/>
      <c r="E38" s="19"/>
      <c r="F38" s="12"/>
      <c r="G38" s="12"/>
    </row>
    <row r="39" spans="2:9" ht="15.75" x14ac:dyDescent="0.25">
      <c r="B39" s="36" t="s">
        <v>37</v>
      </c>
      <c r="C39" s="37"/>
      <c r="D39" s="37"/>
      <c r="E39" s="37"/>
      <c r="F39" s="38"/>
      <c r="G39" s="13">
        <f>SUM(G32:G38)</f>
        <v>11884.65</v>
      </c>
    </row>
    <row r="40" spans="2:9" ht="15.75" x14ac:dyDescent="0.25">
      <c r="B40" s="39" t="s">
        <v>45</v>
      </c>
      <c r="C40" s="40"/>
      <c r="D40" s="41"/>
      <c r="E40" s="19"/>
      <c r="F40" s="12"/>
      <c r="G40" s="12">
        <v>1600</v>
      </c>
    </row>
    <row r="41" spans="2:9" ht="15.75" x14ac:dyDescent="0.25">
      <c r="B41" s="36" t="s">
        <v>38</v>
      </c>
      <c r="C41" s="37"/>
      <c r="D41" s="37"/>
      <c r="E41" s="37"/>
      <c r="F41" s="38"/>
      <c r="G41" s="13">
        <f>+G39+G40</f>
        <v>13484.65</v>
      </c>
    </row>
    <row r="42" spans="2:9" ht="15.75" x14ac:dyDescent="0.25">
      <c r="B42" s="36" t="s">
        <v>39</v>
      </c>
      <c r="C42" s="37"/>
      <c r="D42" s="37"/>
      <c r="E42" s="37"/>
      <c r="F42" s="38"/>
      <c r="G42" s="12">
        <f>+G41*I42</f>
        <v>2696.9300000000003</v>
      </c>
      <c r="I42" s="4">
        <v>0.2</v>
      </c>
    </row>
    <row r="43" spans="2:9" ht="15.75" x14ac:dyDescent="0.25">
      <c r="B43" s="36" t="s">
        <v>40</v>
      </c>
      <c r="C43" s="37"/>
      <c r="D43" s="37"/>
      <c r="E43" s="37"/>
      <c r="F43" s="38"/>
      <c r="G43" s="12">
        <f>+G41+G42</f>
        <v>16181.58</v>
      </c>
    </row>
    <row r="44" spans="2:9" ht="15.75" x14ac:dyDescent="0.25">
      <c r="B44" s="36" t="s">
        <v>41</v>
      </c>
      <c r="C44" s="37"/>
      <c r="D44" s="37"/>
      <c r="E44" s="37"/>
      <c r="F44" s="38"/>
      <c r="G44" s="12">
        <f>G41*I44</f>
        <v>1348.4650000000001</v>
      </c>
      <c r="I44" s="4">
        <v>0.1</v>
      </c>
    </row>
    <row r="45" spans="2:9" ht="15.75" x14ac:dyDescent="0.25">
      <c r="B45" s="36" t="s">
        <v>42</v>
      </c>
      <c r="C45" s="37"/>
      <c r="D45" s="37"/>
      <c r="E45" s="37" t="s">
        <v>17</v>
      </c>
      <c r="F45" s="38"/>
      <c r="G45" s="12">
        <f>G44*I45</f>
        <v>269.69300000000004</v>
      </c>
      <c r="I45" s="4">
        <v>0.2</v>
      </c>
    </row>
    <row r="46" spans="2:9" ht="15.75" x14ac:dyDescent="0.25">
      <c r="B46" s="36" t="s">
        <v>43</v>
      </c>
      <c r="C46" s="37"/>
      <c r="D46" s="37"/>
      <c r="E46" s="37"/>
      <c r="F46" s="38"/>
      <c r="G46" s="20">
        <f>G43-G44-G45</f>
        <v>14563.422</v>
      </c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 t="s">
        <v>162</v>
      </c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 t="s">
        <v>44</v>
      </c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 t="s">
        <v>46</v>
      </c>
      <c r="C56" s="14"/>
      <c r="D56" s="14"/>
      <c r="E56" s="14"/>
      <c r="F56" s="14"/>
      <c r="G56" s="14"/>
    </row>
  </sheetData>
  <mergeCells count="22">
    <mergeCell ref="C36:D36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C35:D35"/>
    <mergeCell ref="B43:F43"/>
    <mergeCell ref="B44:F44"/>
    <mergeCell ref="B45:F45"/>
    <mergeCell ref="B46:F46"/>
    <mergeCell ref="C37:D37"/>
    <mergeCell ref="C38:D38"/>
    <mergeCell ref="B39:F39"/>
    <mergeCell ref="B40:D40"/>
    <mergeCell ref="B41:F41"/>
    <mergeCell ref="B42:F42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55"/>
  <sheetViews>
    <sheetView view="pageBreakPreview" topLeftCell="A10" zoomScale="90" zoomScaleNormal="100" zoomScaleSheetLayoutView="90" workbookViewId="0">
      <selection sqref="A1:H54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2026080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163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341070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225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139</v>
      </c>
      <c r="D32" s="43"/>
      <c r="E32" s="26">
        <v>8</v>
      </c>
      <c r="F32" s="18">
        <v>195</v>
      </c>
      <c r="G32" s="18">
        <f>F32*E32</f>
        <v>1560</v>
      </c>
    </row>
    <row r="33" spans="2:9" ht="15" customHeight="1" x14ac:dyDescent="0.25">
      <c r="B33" s="10" t="s">
        <v>53</v>
      </c>
      <c r="C33" s="42" t="s">
        <v>57</v>
      </c>
      <c r="D33" s="43"/>
      <c r="E33" s="26">
        <v>1</v>
      </c>
      <c r="F33" s="18">
        <v>230.64</v>
      </c>
      <c r="G33" s="18">
        <f t="shared" ref="G33:G36" si="0">F33*E33</f>
        <v>230.64</v>
      </c>
    </row>
    <row r="34" spans="2:9" ht="15.75" x14ac:dyDescent="0.25">
      <c r="B34" s="10" t="s">
        <v>55</v>
      </c>
      <c r="C34" s="42" t="s">
        <v>58</v>
      </c>
      <c r="D34" s="43"/>
      <c r="E34" s="26">
        <v>1</v>
      </c>
      <c r="F34" s="18">
        <v>627.69000000000005</v>
      </c>
      <c r="G34" s="18">
        <f t="shared" si="0"/>
        <v>627.69000000000005</v>
      </c>
    </row>
    <row r="35" spans="2:9" ht="15.75" x14ac:dyDescent="0.25">
      <c r="B35" s="10" t="s">
        <v>56</v>
      </c>
      <c r="C35" s="42" t="s">
        <v>164</v>
      </c>
      <c r="D35" s="43"/>
      <c r="E35" s="27">
        <v>5</v>
      </c>
      <c r="F35" s="18">
        <v>85</v>
      </c>
      <c r="G35" s="18">
        <f t="shared" si="0"/>
        <v>425</v>
      </c>
    </row>
    <row r="36" spans="2:9" ht="15.75" x14ac:dyDescent="0.25">
      <c r="B36" s="10" t="s">
        <v>62</v>
      </c>
      <c r="C36" s="42" t="s">
        <v>165</v>
      </c>
      <c r="D36" s="43"/>
      <c r="E36" s="27">
        <v>2</v>
      </c>
      <c r="F36" s="18">
        <v>100</v>
      </c>
      <c r="G36" s="18">
        <f t="shared" si="0"/>
        <v>200</v>
      </c>
    </row>
    <row r="37" spans="2:9" ht="15.75" x14ac:dyDescent="0.25">
      <c r="B37" s="10"/>
      <c r="C37" s="39"/>
      <c r="D37" s="41"/>
      <c r="E37" s="19"/>
      <c r="F37" s="12"/>
      <c r="G37" s="12"/>
    </row>
    <row r="38" spans="2:9" ht="15.75" x14ac:dyDescent="0.25">
      <c r="B38" s="36" t="s">
        <v>37</v>
      </c>
      <c r="C38" s="37"/>
      <c r="D38" s="37"/>
      <c r="E38" s="37"/>
      <c r="F38" s="38"/>
      <c r="G38" s="13">
        <f>SUM(G32:G37)</f>
        <v>3043.33</v>
      </c>
    </row>
    <row r="39" spans="2:9" ht="15.75" x14ac:dyDescent="0.25">
      <c r="B39" s="39" t="s">
        <v>45</v>
      </c>
      <c r="C39" s="40"/>
      <c r="D39" s="41"/>
      <c r="E39" s="19"/>
      <c r="F39" s="12"/>
      <c r="G39" s="12">
        <v>450</v>
      </c>
    </row>
    <row r="40" spans="2:9" ht="15.75" x14ac:dyDescent="0.25">
      <c r="B40" s="36" t="s">
        <v>38</v>
      </c>
      <c r="C40" s="37"/>
      <c r="D40" s="37"/>
      <c r="E40" s="37"/>
      <c r="F40" s="38"/>
      <c r="G40" s="13">
        <f>+G38+G39</f>
        <v>3493.33</v>
      </c>
    </row>
    <row r="41" spans="2:9" ht="15.75" x14ac:dyDescent="0.25">
      <c r="B41" s="36" t="s">
        <v>39</v>
      </c>
      <c r="C41" s="37"/>
      <c r="D41" s="37"/>
      <c r="E41" s="37"/>
      <c r="F41" s="38"/>
      <c r="G41" s="12">
        <f>+G40*I41</f>
        <v>698.66600000000005</v>
      </c>
      <c r="I41" s="4">
        <v>0.2</v>
      </c>
    </row>
    <row r="42" spans="2:9" ht="15.75" x14ac:dyDescent="0.25">
      <c r="B42" s="36" t="s">
        <v>40</v>
      </c>
      <c r="C42" s="37"/>
      <c r="D42" s="37"/>
      <c r="E42" s="37"/>
      <c r="F42" s="38"/>
      <c r="G42" s="12">
        <f>+G40+G41</f>
        <v>4191.9960000000001</v>
      </c>
    </row>
    <row r="43" spans="2:9" ht="15.75" x14ac:dyDescent="0.25">
      <c r="B43" s="36" t="s">
        <v>41</v>
      </c>
      <c r="C43" s="37"/>
      <c r="D43" s="37"/>
      <c r="E43" s="37"/>
      <c r="F43" s="38"/>
      <c r="G43" s="12">
        <f>G40*I43</f>
        <v>349.33300000000003</v>
      </c>
      <c r="I43" s="4">
        <v>0.1</v>
      </c>
    </row>
    <row r="44" spans="2:9" ht="15.75" x14ac:dyDescent="0.25">
      <c r="B44" s="36" t="s">
        <v>42</v>
      </c>
      <c r="C44" s="37"/>
      <c r="D44" s="37"/>
      <c r="E44" s="37" t="s">
        <v>17</v>
      </c>
      <c r="F44" s="38"/>
      <c r="G44" s="12">
        <f>G43*I44</f>
        <v>69.866600000000005</v>
      </c>
      <c r="I44" s="4">
        <v>0.2</v>
      </c>
    </row>
    <row r="45" spans="2:9" ht="15.75" x14ac:dyDescent="0.25">
      <c r="B45" s="36" t="s">
        <v>43</v>
      </c>
      <c r="C45" s="37"/>
      <c r="D45" s="37"/>
      <c r="E45" s="37"/>
      <c r="F45" s="38"/>
      <c r="G45" s="20">
        <f>G42-G43-G44</f>
        <v>3772.7964000000002</v>
      </c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 t="s">
        <v>166</v>
      </c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 t="s">
        <v>44</v>
      </c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 t="s">
        <v>46</v>
      </c>
      <c r="C55" s="14"/>
      <c r="D55" s="14"/>
      <c r="E55" s="14"/>
      <c r="F55" s="14"/>
      <c r="G55" s="14"/>
    </row>
  </sheetData>
  <mergeCells count="21">
    <mergeCell ref="C36:D36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C35:D35"/>
    <mergeCell ref="B42:F42"/>
    <mergeCell ref="B43:F43"/>
    <mergeCell ref="B44:F44"/>
    <mergeCell ref="B45:F45"/>
    <mergeCell ref="C37:D37"/>
    <mergeCell ref="B38:F38"/>
    <mergeCell ref="B39:D39"/>
    <mergeCell ref="B40:F40"/>
    <mergeCell ref="B41:F41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-0.499984740745262"/>
  </sheetPr>
  <dimension ref="A1:I55"/>
  <sheetViews>
    <sheetView view="pageBreakPreview" zoomScale="90" zoomScaleNormal="100" zoomScaleSheetLayoutView="90" workbookViewId="0">
      <selection activeCell="B48" sqref="B4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2026085</v>
      </c>
      <c r="F11" s="15" t="s">
        <v>31</v>
      </c>
      <c r="G11" s="24">
        <v>46140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167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168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203499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76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139</v>
      </c>
      <c r="D32" s="43"/>
      <c r="E32" s="26">
        <v>5</v>
      </c>
      <c r="F32" s="18">
        <v>195</v>
      </c>
      <c r="G32" s="18">
        <f>F32*E32</f>
        <v>975</v>
      </c>
    </row>
    <row r="33" spans="2:9" ht="15" customHeight="1" x14ac:dyDescent="0.25">
      <c r="B33" s="10" t="s">
        <v>53</v>
      </c>
      <c r="C33" s="42" t="s">
        <v>57</v>
      </c>
      <c r="D33" s="43"/>
      <c r="E33" s="26">
        <v>1</v>
      </c>
      <c r="F33" s="18">
        <v>291</v>
      </c>
      <c r="G33" s="18">
        <f t="shared" ref="G33:G35" si="0">F33*E33</f>
        <v>291</v>
      </c>
    </row>
    <row r="34" spans="2:9" ht="15.75" x14ac:dyDescent="0.25">
      <c r="B34" s="10" t="s">
        <v>55</v>
      </c>
      <c r="C34" s="42" t="s">
        <v>58</v>
      </c>
      <c r="D34" s="43"/>
      <c r="E34" s="26">
        <v>1</v>
      </c>
      <c r="F34" s="18">
        <v>511</v>
      </c>
      <c r="G34" s="18">
        <f t="shared" si="0"/>
        <v>511</v>
      </c>
    </row>
    <row r="35" spans="2:9" ht="15.75" x14ac:dyDescent="0.25">
      <c r="B35" s="10" t="s">
        <v>56</v>
      </c>
      <c r="C35" s="42" t="s">
        <v>59</v>
      </c>
      <c r="D35" s="43"/>
      <c r="E35" s="27">
        <v>1</v>
      </c>
      <c r="F35" s="18">
        <v>803</v>
      </c>
      <c r="G35" s="18">
        <f t="shared" si="0"/>
        <v>803</v>
      </c>
    </row>
    <row r="36" spans="2:9" ht="15.75" x14ac:dyDescent="0.25">
      <c r="B36" s="10"/>
      <c r="C36" s="39"/>
      <c r="D36" s="41"/>
      <c r="E36" s="17"/>
      <c r="F36" s="18"/>
      <c r="G36" s="18"/>
    </row>
    <row r="37" spans="2:9" ht="15.75" x14ac:dyDescent="0.25">
      <c r="B37" s="10"/>
      <c r="C37" s="39"/>
      <c r="D37" s="41"/>
      <c r="E37" s="19"/>
      <c r="F37" s="12"/>
      <c r="G37" s="12"/>
    </row>
    <row r="38" spans="2:9" ht="15.75" x14ac:dyDescent="0.25">
      <c r="B38" s="36" t="s">
        <v>37</v>
      </c>
      <c r="C38" s="37"/>
      <c r="D38" s="37"/>
      <c r="E38" s="37"/>
      <c r="F38" s="38"/>
      <c r="G38" s="13">
        <f>SUM(G32:G37)</f>
        <v>2580</v>
      </c>
    </row>
    <row r="39" spans="2:9" ht="15.75" x14ac:dyDescent="0.25">
      <c r="B39" s="39" t="s">
        <v>45</v>
      </c>
      <c r="C39" s="40"/>
      <c r="D39" s="41"/>
      <c r="E39" s="19"/>
      <c r="F39" s="12"/>
      <c r="G39" s="12">
        <v>300</v>
      </c>
    </row>
    <row r="40" spans="2:9" ht="15.75" x14ac:dyDescent="0.25">
      <c r="B40" s="36" t="s">
        <v>38</v>
      </c>
      <c r="C40" s="37"/>
      <c r="D40" s="37"/>
      <c r="E40" s="37"/>
      <c r="F40" s="38"/>
      <c r="G40" s="13">
        <f>+G38+G39</f>
        <v>2880</v>
      </c>
    </row>
    <row r="41" spans="2:9" ht="15.75" x14ac:dyDescent="0.25">
      <c r="B41" s="36" t="s">
        <v>39</v>
      </c>
      <c r="C41" s="37"/>
      <c r="D41" s="37"/>
      <c r="E41" s="37"/>
      <c r="F41" s="38"/>
      <c r="G41" s="12">
        <f>+G40*I41</f>
        <v>576</v>
      </c>
      <c r="I41" s="4">
        <v>0.2</v>
      </c>
    </row>
    <row r="42" spans="2:9" ht="15.75" x14ac:dyDescent="0.25">
      <c r="B42" s="36" t="s">
        <v>40</v>
      </c>
      <c r="C42" s="37"/>
      <c r="D42" s="37"/>
      <c r="E42" s="37"/>
      <c r="F42" s="38"/>
      <c r="G42" s="12">
        <f>+G40+G41</f>
        <v>3456</v>
      </c>
    </row>
    <row r="43" spans="2:9" ht="15.75" x14ac:dyDescent="0.25">
      <c r="B43" s="36" t="s">
        <v>41</v>
      </c>
      <c r="C43" s="37"/>
      <c r="D43" s="37"/>
      <c r="E43" s="37"/>
      <c r="F43" s="38"/>
      <c r="G43" s="12">
        <f>G40*I43</f>
        <v>288</v>
      </c>
      <c r="I43" s="4">
        <v>0.1</v>
      </c>
    </row>
    <row r="44" spans="2:9" ht="15.75" x14ac:dyDescent="0.25">
      <c r="B44" s="36" t="s">
        <v>42</v>
      </c>
      <c r="C44" s="37"/>
      <c r="D44" s="37"/>
      <c r="E44" s="37" t="s">
        <v>17</v>
      </c>
      <c r="F44" s="38"/>
      <c r="G44" s="12">
        <f>G43*I44</f>
        <v>57.6</v>
      </c>
      <c r="I44" s="4">
        <v>0.2</v>
      </c>
    </row>
    <row r="45" spans="2:9" ht="15.75" x14ac:dyDescent="0.25">
      <c r="B45" s="36" t="s">
        <v>43</v>
      </c>
      <c r="C45" s="37"/>
      <c r="D45" s="37"/>
      <c r="E45" s="37"/>
      <c r="F45" s="38"/>
      <c r="G45" s="20">
        <f>G42-G43-G44</f>
        <v>3110.4</v>
      </c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 t="s">
        <v>169</v>
      </c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 t="s">
        <v>44</v>
      </c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 t="s">
        <v>46</v>
      </c>
      <c r="C55" s="14"/>
      <c r="D55" s="14"/>
      <c r="E55" s="14"/>
      <c r="F55" s="14"/>
      <c r="G55" s="14"/>
    </row>
  </sheetData>
  <mergeCells count="21"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C35:D35"/>
    <mergeCell ref="B42:F42"/>
    <mergeCell ref="B43:F43"/>
    <mergeCell ref="B44:F44"/>
    <mergeCell ref="B45:F45"/>
    <mergeCell ref="C36:D36"/>
    <mergeCell ref="C37:D37"/>
    <mergeCell ref="B38:F38"/>
    <mergeCell ref="B39:D39"/>
    <mergeCell ref="B40:F40"/>
    <mergeCell ref="B41:F41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-0.499984740745262"/>
  </sheetPr>
  <dimension ref="A1:I54"/>
  <sheetViews>
    <sheetView view="pageBreakPreview" zoomScale="90" zoomScaleNormal="100" zoomScaleSheetLayoutView="90" workbookViewId="0">
      <selection activeCell="B47" sqref="B47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2026086</v>
      </c>
      <c r="F11" s="15" t="s">
        <v>31</v>
      </c>
      <c r="G11" s="24">
        <v>46140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170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171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190931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76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172</v>
      </c>
      <c r="D32" s="43"/>
      <c r="E32" s="26">
        <v>1</v>
      </c>
      <c r="F32" s="18">
        <v>1141.67</v>
      </c>
      <c r="G32" s="18">
        <f>F32*E32</f>
        <v>1141.67</v>
      </c>
    </row>
    <row r="33" spans="2:9" ht="15.75" x14ac:dyDescent="0.25">
      <c r="B33" s="10"/>
      <c r="C33" s="39"/>
      <c r="D33" s="41"/>
      <c r="E33" s="17"/>
      <c r="F33" s="18"/>
      <c r="G33" s="18"/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9"/>
      <c r="F36" s="12"/>
      <c r="G36" s="12"/>
    </row>
    <row r="37" spans="2:9" ht="15.75" x14ac:dyDescent="0.25">
      <c r="B37" s="36" t="s">
        <v>37</v>
      </c>
      <c r="C37" s="37"/>
      <c r="D37" s="37"/>
      <c r="E37" s="37"/>
      <c r="F37" s="38"/>
      <c r="G37" s="13">
        <f>SUM(G32:G36)</f>
        <v>1141.67</v>
      </c>
    </row>
    <row r="38" spans="2:9" ht="15.75" x14ac:dyDescent="0.25">
      <c r="B38" s="39" t="s">
        <v>45</v>
      </c>
      <c r="C38" s="40"/>
      <c r="D38" s="41"/>
      <c r="E38" s="19"/>
      <c r="F38" s="12"/>
      <c r="G38" s="12">
        <v>200</v>
      </c>
    </row>
    <row r="39" spans="2:9" ht="15.75" x14ac:dyDescent="0.25">
      <c r="B39" s="36" t="s">
        <v>38</v>
      </c>
      <c r="C39" s="37"/>
      <c r="D39" s="37"/>
      <c r="E39" s="37"/>
      <c r="F39" s="38"/>
      <c r="G39" s="13">
        <f>+G37+G38</f>
        <v>1341.67</v>
      </c>
    </row>
    <row r="40" spans="2:9" ht="15.75" x14ac:dyDescent="0.25">
      <c r="B40" s="36" t="s">
        <v>39</v>
      </c>
      <c r="C40" s="37"/>
      <c r="D40" s="37"/>
      <c r="E40" s="37"/>
      <c r="F40" s="38"/>
      <c r="G40" s="12">
        <f>+G39*I40</f>
        <v>268.334</v>
      </c>
      <c r="I40" s="4">
        <v>0.2</v>
      </c>
    </row>
    <row r="41" spans="2:9" ht="15.75" x14ac:dyDescent="0.25">
      <c r="B41" s="36" t="s">
        <v>40</v>
      </c>
      <c r="C41" s="37"/>
      <c r="D41" s="37"/>
      <c r="E41" s="37"/>
      <c r="F41" s="38"/>
      <c r="G41" s="12">
        <f>+G39+G40</f>
        <v>1610.0040000000001</v>
      </c>
    </row>
    <row r="42" spans="2:9" ht="15.75" x14ac:dyDescent="0.25">
      <c r="B42" s="36" t="s">
        <v>41</v>
      </c>
      <c r="C42" s="37"/>
      <c r="D42" s="37"/>
      <c r="E42" s="37"/>
      <c r="F42" s="38"/>
      <c r="G42" s="12">
        <f>G39*I42</f>
        <v>134.167</v>
      </c>
      <c r="I42" s="4">
        <v>0.1</v>
      </c>
    </row>
    <row r="43" spans="2:9" ht="15.75" x14ac:dyDescent="0.25">
      <c r="B43" s="36" t="s">
        <v>42</v>
      </c>
      <c r="C43" s="37"/>
      <c r="D43" s="37"/>
      <c r="E43" s="37" t="s">
        <v>17</v>
      </c>
      <c r="F43" s="38"/>
      <c r="G43" s="12">
        <f>G42*I43</f>
        <v>26.833400000000001</v>
      </c>
      <c r="I43" s="4">
        <v>0.2</v>
      </c>
    </row>
    <row r="44" spans="2:9" ht="15.75" x14ac:dyDescent="0.25">
      <c r="B44" s="36" t="s">
        <v>43</v>
      </c>
      <c r="C44" s="37"/>
      <c r="D44" s="37"/>
      <c r="E44" s="37"/>
      <c r="F44" s="38"/>
      <c r="G44" s="20">
        <f>G41-G42-G43</f>
        <v>1449.0036000000002</v>
      </c>
    </row>
    <row r="45" spans="2:9" ht="15.75" x14ac:dyDescent="0.25">
      <c r="B45" s="14"/>
      <c r="C45" s="14"/>
      <c r="D45" s="14"/>
      <c r="E45" s="14"/>
      <c r="F45" s="14"/>
      <c r="G45" s="14"/>
    </row>
    <row r="46" spans="2:9" ht="15.75" x14ac:dyDescent="0.25">
      <c r="B46" s="14" t="s">
        <v>173</v>
      </c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 t="s">
        <v>44</v>
      </c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 t="s">
        <v>46</v>
      </c>
      <c r="C54" s="14"/>
      <c r="D54" s="14"/>
      <c r="E54" s="14"/>
      <c r="F54" s="14"/>
      <c r="G54" s="14"/>
    </row>
  </sheetData>
  <mergeCells count="20">
    <mergeCell ref="C31:D31"/>
    <mergeCell ref="C32:D32"/>
    <mergeCell ref="C33:D33"/>
    <mergeCell ref="C34:D34"/>
    <mergeCell ref="A1:H3"/>
    <mergeCell ref="D13:E13"/>
    <mergeCell ref="C15:F15"/>
    <mergeCell ref="B18:C18"/>
    <mergeCell ref="D18:E18"/>
    <mergeCell ref="F18:G18"/>
    <mergeCell ref="B41:F41"/>
    <mergeCell ref="B42:F42"/>
    <mergeCell ref="B43:F43"/>
    <mergeCell ref="B44:F44"/>
    <mergeCell ref="C35:D35"/>
    <mergeCell ref="C36:D36"/>
    <mergeCell ref="B37:F37"/>
    <mergeCell ref="B38:D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54"/>
  <sheetViews>
    <sheetView view="pageBreakPreview" topLeftCell="A7" zoomScale="90" zoomScaleNormal="100" zoomScaleSheetLayoutView="90" workbookViewId="0">
      <selection sqref="A1:H53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2026091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159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210500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226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174</v>
      </c>
      <c r="D32" s="43"/>
      <c r="E32" s="26">
        <v>2</v>
      </c>
      <c r="F32" s="18">
        <v>800</v>
      </c>
      <c r="G32" s="18">
        <f>F32*E32</f>
        <v>1600</v>
      </c>
    </row>
    <row r="33" spans="2:9" ht="15.75" x14ac:dyDescent="0.25">
      <c r="B33" s="10"/>
      <c r="C33" s="39"/>
      <c r="D33" s="41"/>
      <c r="E33" s="17"/>
      <c r="F33" s="18"/>
      <c r="G33" s="18"/>
    </row>
    <row r="34" spans="2:9" ht="15.75" x14ac:dyDescent="0.25">
      <c r="B34" s="10"/>
      <c r="C34" s="39"/>
      <c r="D34" s="41"/>
      <c r="E34" s="17"/>
      <c r="F34" s="18"/>
      <c r="G34" s="18"/>
    </row>
    <row r="35" spans="2:9" ht="15.75" x14ac:dyDescent="0.25">
      <c r="B35" s="10"/>
      <c r="C35" s="39"/>
      <c r="D35" s="41"/>
      <c r="E35" s="17"/>
      <c r="F35" s="18"/>
      <c r="G35" s="18"/>
    </row>
    <row r="36" spans="2:9" ht="15.75" x14ac:dyDescent="0.25">
      <c r="B36" s="10"/>
      <c r="C36" s="39"/>
      <c r="D36" s="41"/>
      <c r="E36" s="19"/>
      <c r="F36" s="12"/>
      <c r="G36" s="12"/>
    </row>
    <row r="37" spans="2:9" ht="15.75" x14ac:dyDescent="0.25">
      <c r="B37" s="36" t="s">
        <v>37</v>
      </c>
      <c r="C37" s="37"/>
      <c r="D37" s="37"/>
      <c r="E37" s="37"/>
      <c r="F37" s="38"/>
      <c r="G37" s="13">
        <f>SUM(G32:G36)</f>
        <v>1600</v>
      </c>
    </row>
    <row r="38" spans="2:9" ht="15.75" x14ac:dyDescent="0.25">
      <c r="B38" s="39" t="s">
        <v>45</v>
      </c>
      <c r="C38" s="40"/>
      <c r="D38" s="41"/>
      <c r="E38" s="19"/>
      <c r="F38" s="12"/>
      <c r="G38" s="12">
        <v>200</v>
      </c>
    </row>
    <row r="39" spans="2:9" ht="15.75" x14ac:dyDescent="0.25">
      <c r="B39" s="36" t="s">
        <v>38</v>
      </c>
      <c r="C39" s="37"/>
      <c r="D39" s="37"/>
      <c r="E39" s="37"/>
      <c r="F39" s="38"/>
      <c r="G39" s="13">
        <f>+G37+G38</f>
        <v>1800</v>
      </c>
    </row>
    <row r="40" spans="2:9" ht="15.75" x14ac:dyDescent="0.25">
      <c r="B40" s="36" t="s">
        <v>39</v>
      </c>
      <c r="C40" s="37"/>
      <c r="D40" s="37"/>
      <c r="E40" s="37"/>
      <c r="F40" s="38"/>
      <c r="G40" s="12">
        <f>+G39*I40</f>
        <v>360</v>
      </c>
      <c r="I40" s="4">
        <v>0.2</v>
      </c>
    </row>
    <row r="41" spans="2:9" ht="15.75" x14ac:dyDescent="0.25">
      <c r="B41" s="36" t="s">
        <v>40</v>
      </c>
      <c r="C41" s="37"/>
      <c r="D41" s="37"/>
      <c r="E41" s="37"/>
      <c r="F41" s="38"/>
      <c r="G41" s="12">
        <f>+G39+G40</f>
        <v>2160</v>
      </c>
    </row>
    <row r="42" spans="2:9" ht="15.75" x14ac:dyDescent="0.25">
      <c r="B42" s="36" t="s">
        <v>41</v>
      </c>
      <c r="C42" s="37"/>
      <c r="D42" s="37"/>
      <c r="E42" s="37"/>
      <c r="F42" s="38"/>
      <c r="G42" s="12">
        <f>G39*I42</f>
        <v>180</v>
      </c>
      <c r="I42" s="4">
        <v>0.1</v>
      </c>
    </row>
    <row r="43" spans="2:9" ht="15.75" x14ac:dyDescent="0.25">
      <c r="B43" s="36" t="s">
        <v>42</v>
      </c>
      <c r="C43" s="37"/>
      <c r="D43" s="37"/>
      <c r="E43" s="37" t="s">
        <v>17</v>
      </c>
      <c r="F43" s="38"/>
      <c r="G43" s="12">
        <f>G42*I43</f>
        <v>36</v>
      </c>
      <c r="I43" s="4">
        <v>0.2</v>
      </c>
    </row>
    <row r="44" spans="2:9" ht="15.75" x14ac:dyDescent="0.25">
      <c r="B44" s="36" t="s">
        <v>43</v>
      </c>
      <c r="C44" s="37"/>
      <c r="D44" s="37"/>
      <c r="E44" s="37"/>
      <c r="F44" s="38"/>
      <c r="G44" s="20">
        <f>G41-G42-G43</f>
        <v>1944</v>
      </c>
    </row>
    <row r="45" spans="2:9" ht="15.75" x14ac:dyDescent="0.25">
      <c r="B45" s="14"/>
      <c r="C45" s="14"/>
      <c r="D45" s="14"/>
      <c r="E45" s="14"/>
      <c r="F45" s="14"/>
      <c r="G45" s="14"/>
    </row>
    <row r="46" spans="2:9" ht="15.75" x14ac:dyDescent="0.25">
      <c r="B46" s="14" t="s">
        <v>175</v>
      </c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 t="s">
        <v>44</v>
      </c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 t="s">
        <v>46</v>
      </c>
      <c r="C54" s="14"/>
      <c r="D54" s="14"/>
      <c r="E54" s="14"/>
      <c r="F54" s="14"/>
      <c r="G54" s="14"/>
    </row>
  </sheetData>
  <mergeCells count="20">
    <mergeCell ref="C31:D31"/>
    <mergeCell ref="C32:D32"/>
    <mergeCell ref="C33:D33"/>
    <mergeCell ref="C34:D34"/>
    <mergeCell ref="A1:H3"/>
    <mergeCell ref="D13:E13"/>
    <mergeCell ref="C15:F15"/>
    <mergeCell ref="B18:C18"/>
    <mergeCell ref="D18:E18"/>
    <mergeCell ref="F18:G18"/>
    <mergeCell ref="B41:F41"/>
    <mergeCell ref="B42:F42"/>
    <mergeCell ref="B43:F43"/>
    <mergeCell ref="B44:F44"/>
    <mergeCell ref="C35:D35"/>
    <mergeCell ref="C36:D36"/>
    <mergeCell ref="B37:F37"/>
    <mergeCell ref="B38:D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55"/>
  <sheetViews>
    <sheetView view="pageBreakPreview" zoomScale="90" zoomScaleNormal="100" zoomScaleSheetLayoutView="90" workbookViewId="0">
      <selection sqref="A1:H54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2026092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200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100198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227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176</v>
      </c>
      <c r="D32" s="43"/>
      <c r="E32" s="26">
        <v>9</v>
      </c>
      <c r="F32" s="18">
        <v>180</v>
      </c>
      <c r="G32" s="18">
        <f>F32*E32</f>
        <v>1620</v>
      </c>
    </row>
    <row r="33" spans="2:9" ht="15" customHeight="1" x14ac:dyDescent="0.25">
      <c r="B33" s="10" t="s">
        <v>53</v>
      </c>
      <c r="C33" s="42" t="s">
        <v>58</v>
      </c>
      <c r="D33" s="43"/>
      <c r="E33" s="26">
        <v>1</v>
      </c>
      <c r="F33" s="18">
        <v>591.41999999999996</v>
      </c>
      <c r="G33" s="18">
        <f t="shared" ref="G33:G35" si="0">F33*E33</f>
        <v>591.41999999999996</v>
      </c>
    </row>
    <row r="34" spans="2:9" ht="15.75" x14ac:dyDescent="0.25">
      <c r="B34" s="10" t="s">
        <v>55</v>
      </c>
      <c r="C34" s="42" t="s">
        <v>59</v>
      </c>
      <c r="D34" s="43"/>
      <c r="E34" s="26">
        <v>1</v>
      </c>
      <c r="F34" s="18">
        <v>525.69000000000005</v>
      </c>
      <c r="G34" s="18">
        <f t="shared" si="0"/>
        <v>525.69000000000005</v>
      </c>
    </row>
    <row r="35" spans="2:9" ht="15.75" x14ac:dyDescent="0.25">
      <c r="B35" s="10" t="s">
        <v>56</v>
      </c>
      <c r="C35" s="42" t="s">
        <v>57</v>
      </c>
      <c r="D35" s="43"/>
      <c r="E35" s="26">
        <v>1</v>
      </c>
      <c r="F35" s="18">
        <v>259.2</v>
      </c>
      <c r="G35" s="18">
        <f t="shared" si="0"/>
        <v>259.2</v>
      </c>
    </row>
    <row r="36" spans="2:9" ht="15.75" x14ac:dyDescent="0.25">
      <c r="B36" s="10"/>
      <c r="C36" s="42"/>
      <c r="D36" s="43"/>
      <c r="E36" s="26"/>
      <c r="F36" s="18"/>
      <c r="G36" s="18"/>
    </row>
    <row r="37" spans="2:9" ht="15.75" x14ac:dyDescent="0.25">
      <c r="B37" s="10"/>
      <c r="C37" s="39"/>
      <c r="D37" s="41"/>
      <c r="E37" s="19"/>
      <c r="F37" s="12"/>
      <c r="G37" s="12"/>
    </row>
    <row r="38" spans="2:9" ht="15.75" x14ac:dyDescent="0.25">
      <c r="B38" s="36" t="s">
        <v>37</v>
      </c>
      <c r="C38" s="37"/>
      <c r="D38" s="37"/>
      <c r="E38" s="37"/>
      <c r="F38" s="38"/>
      <c r="G38" s="13">
        <f>SUM(G32:G37)</f>
        <v>2996.31</v>
      </c>
    </row>
    <row r="39" spans="2:9" ht="15.75" x14ac:dyDescent="0.25">
      <c r="B39" s="39" t="s">
        <v>45</v>
      </c>
      <c r="C39" s="40"/>
      <c r="D39" s="41"/>
      <c r="E39" s="19"/>
      <c r="F39" s="12"/>
      <c r="G39" s="12">
        <v>300.36</v>
      </c>
    </row>
    <row r="40" spans="2:9" ht="15.75" x14ac:dyDescent="0.25">
      <c r="B40" s="36" t="s">
        <v>38</v>
      </c>
      <c r="C40" s="37"/>
      <c r="D40" s="37"/>
      <c r="E40" s="37"/>
      <c r="F40" s="38"/>
      <c r="G40" s="13">
        <f>+G38+G39</f>
        <v>3296.67</v>
      </c>
    </row>
    <row r="41" spans="2:9" ht="15.75" x14ac:dyDescent="0.25">
      <c r="B41" s="36" t="s">
        <v>39</v>
      </c>
      <c r="C41" s="37"/>
      <c r="D41" s="37"/>
      <c r="E41" s="37"/>
      <c r="F41" s="38"/>
      <c r="G41" s="12">
        <f>+G40*I41</f>
        <v>659.33400000000006</v>
      </c>
      <c r="I41" s="4">
        <v>0.2</v>
      </c>
    </row>
    <row r="42" spans="2:9" ht="15.75" x14ac:dyDescent="0.25">
      <c r="B42" s="36" t="s">
        <v>40</v>
      </c>
      <c r="C42" s="37"/>
      <c r="D42" s="37"/>
      <c r="E42" s="37"/>
      <c r="F42" s="38"/>
      <c r="G42" s="12">
        <f>+G40+G41</f>
        <v>3956.0039999999999</v>
      </c>
    </row>
    <row r="43" spans="2:9" ht="15.75" x14ac:dyDescent="0.25">
      <c r="B43" s="36" t="s">
        <v>41</v>
      </c>
      <c r="C43" s="37"/>
      <c r="D43" s="37"/>
      <c r="E43" s="37"/>
      <c r="F43" s="38"/>
      <c r="G43" s="12">
        <f>G40*I43</f>
        <v>329.66700000000003</v>
      </c>
      <c r="I43" s="4">
        <v>0.1</v>
      </c>
    </row>
    <row r="44" spans="2:9" ht="15.75" x14ac:dyDescent="0.25">
      <c r="B44" s="36" t="s">
        <v>42</v>
      </c>
      <c r="C44" s="37"/>
      <c r="D44" s="37"/>
      <c r="E44" s="37" t="s">
        <v>17</v>
      </c>
      <c r="F44" s="38"/>
      <c r="G44" s="12">
        <f>G43*I44</f>
        <v>65.933400000000006</v>
      </c>
      <c r="I44" s="4">
        <v>0.2</v>
      </c>
    </row>
    <row r="45" spans="2:9" ht="15.75" x14ac:dyDescent="0.25">
      <c r="B45" s="36" t="s">
        <v>43</v>
      </c>
      <c r="C45" s="37"/>
      <c r="D45" s="37"/>
      <c r="E45" s="37"/>
      <c r="F45" s="38"/>
      <c r="G45" s="20">
        <f>G42-G43-G44</f>
        <v>3560.4036000000001</v>
      </c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 t="s">
        <v>177</v>
      </c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 t="s">
        <v>44</v>
      </c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 t="s">
        <v>46</v>
      </c>
      <c r="C55" s="14"/>
      <c r="D55" s="14"/>
      <c r="E55" s="14"/>
      <c r="F55" s="14"/>
      <c r="G55" s="14"/>
    </row>
  </sheetData>
  <mergeCells count="21">
    <mergeCell ref="C36:D36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C35:D35"/>
    <mergeCell ref="B43:F43"/>
    <mergeCell ref="B44:F44"/>
    <mergeCell ref="B45:F45"/>
    <mergeCell ref="C37:D37"/>
    <mergeCell ref="B38:F38"/>
    <mergeCell ref="B39:D39"/>
    <mergeCell ref="B40:F40"/>
    <mergeCell ref="B41:F41"/>
    <mergeCell ref="B42:F42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56"/>
  <sheetViews>
    <sheetView view="pageBreakPreview" topLeftCell="A8" zoomScale="90" zoomScaleNormal="100" zoomScaleSheetLayoutView="90" workbookViewId="0">
      <selection sqref="A1:H55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2026095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245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178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360500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228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176</v>
      </c>
      <c r="D32" s="43"/>
      <c r="E32" s="26">
        <v>5</v>
      </c>
      <c r="F32" s="18">
        <v>180</v>
      </c>
      <c r="G32" s="18">
        <f>F32*E32</f>
        <v>900</v>
      </c>
    </row>
    <row r="33" spans="2:9" ht="15" customHeight="1" x14ac:dyDescent="0.25">
      <c r="B33" s="10" t="s">
        <v>53</v>
      </c>
      <c r="C33" s="42" t="s">
        <v>57</v>
      </c>
      <c r="D33" s="43"/>
      <c r="E33" s="26">
        <v>1</v>
      </c>
      <c r="F33" s="18">
        <v>232</v>
      </c>
      <c r="G33" s="18">
        <f t="shared" ref="G33:G37" si="0">F33*E33</f>
        <v>232</v>
      </c>
    </row>
    <row r="34" spans="2:9" ht="15.75" x14ac:dyDescent="0.25">
      <c r="B34" s="10" t="s">
        <v>55</v>
      </c>
      <c r="C34" s="42" t="s">
        <v>59</v>
      </c>
      <c r="D34" s="43"/>
      <c r="E34" s="26">
        <v>1</v>
      </c>
      <c r="F34" s="18">
        <v>522</v>
      </c>
      <c r="G34" s="18">
        <f t="shared" si="0"/>
        <v>522</v>
      </c>
    </row>
    <row r="35" spans="2:9" ht="15.75" x14ac:dyDescent="0.25">
      <c r="B35" s="10" t="s">
        <v>56</v>
      </c>
      <c r="C35" s="42" t="s">
        <v>58</v>
      </c>
      <c r="D35" s="43"/>
      <c r="E35" s="26">
        <v>1</v>
      </c>
      <c r="F35" s="18">
        <v>422</v>
      </c>
      <c r="G35" s="18">
        <f t="shared" si="0"/>
        <v>422</v>
      </c>
    </row>
    <row r="36" spans="2:9" ht="15.75" x14ac:dyDescent="0.25">
      <c r="B36" s="10" t="s">
        <v>62</v>
      </c>
      <c r="C36" s="44" t="s">
        <v>136</v>
      </c>
      <c r="D36" s="45"/>
      <c r="E36" s="3">
        <v>1</v>
      </c>
      <c r="F36" s="18">
        <v>3300</v>
      </c>
      <c r="G36" s="18">
        <f t="shared" si="0"/>
        <v>3300</v>
      </c>
    </row>
    <row r="37" spans="2:9" ht="15.75" x14ac:dyDescent="0.25">
      <c r="B37" s="10" t="s">
        <v>63</v>
      </c>
      <c r="C37" s="42" t="s">
        <v>179</v>
      </c>
      <c r="D37" s="43"/>
      <c r="E37" s="3">
        <v>2</v>
      </c>
      <c r="F37" s="18">
        <v>980</v>
      </c>
      <c r="G37" s="18">
        <f t="shared" si="0"/>
        <v>1960</v>
      </c>
    </row>
    <row r="38" spans="2:9" ht="15.75" x14ac:dyDescent="0.25">
      <c r="B38" s="10"/>
      <c r="C38" s="39"/>
      <c r="D38" s="41"/>
      <c r="E38" s="19"/>
      <c r="F38" s="12"/>
      <c r="G38" s="12"/>
    </row>
    <row r="39" spans="2:9" ht="15.75" x14ac:dyDescent="0.25">
      <c r="B39" s="36" t="s">
        <v>37</v>
      </c>
      <c r="C39" s="37"/>
      <c r="D39" s="37"/>
      <c r="E39" s="37"/>
      <c r="F39" s="38"/>
      <c r="G39" s="13">
        <f>SUM(G32:G38)</f>
        <v>7336</v>
      </c>
    </row>
    <row r="40" spans="2:9" ht="15.75" x14ac:dyDescent="0.25">
      <c r="B40" s="39" t="s">
        <v>45</v>
      </c>
      <c r="C40" s="40"/>
      <c r="D40" s="41"/>
      <c r="E40" s="19"/>
      <c r="F40" s="12"/>
      <c r="G40" s="12">
        <v>950</v>
      </c>
    </row>
    <row r="41" spans="2:9" ht="15.75" x14ac:dyDescent="0.25">
      <c r="B41" s="36" t="s">
        <v>38</v>
      </c>
      <c r="C41" s="37"/>
      <c r="D41" s="37"/>
      <c r="E41" s="37"/>
      <c r="F41" s="38"/>
      <c r="G41" s="13">
        <f>+G39+G40</f>
        <v>8286</v>
      </c>
    </row>
    <row r="42" spans="2:9" ht="15.75" x14ac:dyDescent="0.25">
      <c r="B42" s="36" t="s">
        <v>39</v>
      </c>
      <c r="C42" s="37"/>
      <c r="D42" s="37"/>
      <c r="E42" s="37"/>
      <c r="F42" s="38"/>
      <c r="G42" s="12">
        <f>+G41*I42</f>
        <v>1657.2</v>
      </c>
      <c r="I42" s="4">
        <v>0.2</v>
      </c>
    </row>
    <row r="43" spans="2:9" ht="15.75" x14ac:dyDescent="0.25">
      <c r="B43" s="36" t="s">
        <v>40</v>
      </c>
      <c r="C43" s="37"/>
      <c r="D43" s="37"/>
      <c r="E43" s="37"/>
      <c r="F43" s="38"/>
      <c r="G43" s="12">
        <f>+G41+G42</f>
        <v>9943.2000000000007</v>
      </c>
    </row>
    <row r="44" spans="2:9" ht="15.75" x14ac:dyDescent="0.25">
      <c r="B44" s="36" t="s">
        <v>41</v>
      </c>
      <c r="C44" s="37"/>
      <c r="D44" s="37"/>
      <c r="E44" s="37"/>
      <c r="F44" s="38"/>
      <c r="G44" s="12">
        <f>G41*I44</f>
        <v>828.6</v>
      </c>
      <c r="I44" s="4">
        <v>0.1</v>
      </c>
    </row>
    <row r="45" spans="2:9" ht="15.75" x14ac:dyDescent="0.25">
      <c r="B45" s="36" t="s">
        <v>42</v>
      </c>
      <c r="C45" s="37"/>
      <c r="D45" s="37"/>
      <c r="E45" s="37" t="s">
        <v>17</v>
      </c>
      <c r="F45" s="38"/>
      <c r="G45" s="12">
        <f>G44*I45</f>
        <v>165.72000000000003</v>
      </c>
      <c r="I45" s="4">
        <v>0.2</v>
      </c>
    </row>
    <row r="46" spans="2:9" ht="15.75" x14ac:dyDescent="0.25">
      <c r="B46" s="36" t="s">
        <v>43</v>
      </c>
      <c r="C46" s="37"/>
      <c r="D46" s="37"/>
      <c r="E46" s="37"/>
      <c r="F46" s="38"/>
      <c r="G46" s="20">
        <f>G43-G44-G45</f>
        <v>8948.880000000001</v>
      </c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 t="s">
        <v>180</v>
      </c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 t="s">
        <v>44</v>
      </c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/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 t="s">
        <v>46</v>
      </c>
      <c r="C56" s="14"/>
      <c r="D56" s="14"/>
      <c r="E56" s="14"/>
      <c r="F56" s="14"/>
      <c r="G56" s="14"/>
    </row>
  </sheetData>
  <mergeCells count="22"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C35:D35"/>
    <mergeCell ref="B44:F44"/>
    <mergeCell ref="B45:F45"/>
    <mergeCell ref="B46:F46"/>
    <mergeCell ref="C36:D36"/>
    <mergeCell ref="C37:D37"/>
    <mergeCell ref="C38:D38"/>
    <mergeCell ref="B39:F39"/>
    <mergeCell ref="B40:D40"/>
    <mergeCell ref="B41:F41"/>
    <mergeCell ref="B42:F42"/>
    <mergeCell ref="B43:F43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53"/>
  <sheetViews>
    <sheetView view="pageBreakPreview" topLeftCell="A4" zoomScale="90" zoomScaleNormal="100" zoomScaleSheetLayoutView="90" workbookViewId="0">
      <selection sqref="A1:H52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20260101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237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60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342632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229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191</v>
      </c>
      <c r="D32" s="43"/>
      <c r="E32" s="26">
        <v>1</v>
      </c>
      <c r="F32" s="18">
        <v>6083.33</v>
      </c>
      <c r="G32" s="18">
        <f>F32*E32</f>
        <v>6083.33</v>
      </c>
    </row>
    <row r="33" spans="2:9" ht="15" customHeight="1" x14ac:dyDescent="0.25">
      <c r="B33" s="10" t="s">
        <v>53</v>
      </c>
      <c r="C33" s="42" t="s">
        <v>192</v>
      </c>
      <c r="D33" s="43"/>
      <c r="E33" s="26">
        <v>1</v>
      </c>
      <c r="F33" s="18">
        <v>600</v>
      </c>
      <c r="G33" s="18">
        <f t="shared" ref="G33" si="0">F33*E33</f>
        <v>600</v>
      </c>
    </row>
    <row r="34" spans="2:9" ht="15.75" x14ac:dyDescent="0.25">
      <c r="B34" s="10"/>
      <c r="C34" s="42"/>
      <c r="D34" s="43"/>
      <c r="E34" s="26"/>
      <c r="F34" s="18"/>
      <c r="G34" s="18"/>
    </row>
    <row r="35" spans="2:9" ht="15.75" x14ac:dyDescent="0.25">
      <c r="B35" s="10"/>
      <c r="C35" s="39"/>
      <c r="D35" s="41"/>
      <c r="E35" s="19"/>
      <c r="F35" s="12"/>
      <c r="G35" s="12"/>
    </row>
    <row r="36" spans="2:9" ht="15.75" x14ac:dyDescent="0.25">
      <c r="B36" s="36" t="s">
        <v>37</v>
      </c>
      <c r="C36" s="37"/>
      <c r="D36" s="37"/>
      <c r="E36" s="37"/>
      <c r="F36" s="38"/>
      <c r="G36" s="13">
        <f>SUM(G32:G35)</f>
        <v>6683.33</v>
      </c>
    </row>
    <row r="37" spans="2:9" ht="15.75" x14ac:dyDescent="0.25">
      <c r="B37" s="39" t="s">
        <v>45</v>
      </c>
      <c r="C37" s="40"/>
      <c r="D37" s="41"/>
      <c r="E37" s="19"/>
      <c r="F37" s="12"/>
      <c r="G37" s="12">
        <v>300</v>
      </c>
    </row>
    <row r="38" spans="2:9" ht="15.75" x14ac:dyDescent="0.25">
      <c r="B38" s="36" t="s">
        <v>38</v>
      </c>
      <c r="C38" s="37"/>
      <c r="D38" s="37"/>
      <c r="E38" s="37"/>
      <c r="F38" s="38"/>
      <c r="G38" s="13">
        <f>+G36+G37</f>
        <v>6983.33</v>
      </c>
    </row>
    <row r="39" spans="2:9" ht="15.75" x14ac:dyDescent="0.25">
      <c r="B39" s="36" t="s">
        <v>39</v>
      </c>
      <c r="C39" s="37"/>
      <c r="D39" s="37"/>
      <c r="E39" s="37"/>
      <c r="F39" s="38"/>
      <c r="G39" s="12">
        <f>+G38*I39</f>
        <v>1396.6660000000002</v>
      </c>
      <c r="I39" s="4">
        <v>0.2</v>
      </c>
    </row>
    <row r="40" spans="2:9" ht="15.75" x14ac:dyDescent="0.25">
      <c r="B40" s="36" t="s">
        <v>40</v>
      </c>
      <c r="C40" s="37"/>
      <c r="D40" s="37"/>
      <c r="E40" s="37"/>
      <c r="F40" s="38"/>
      <c r="G40" s="12">
        <f>+G38+G39</f>
        <v>8379.9959999999992</v>
      </c>
    </row>
    <row r="41" spans="2:9" ht="15.75" x14ac:dyDescent="0.25">
      <c r="B41" s="36" t="s">
        <v>41</v>
      </c>
      <c r="C41" s="37"/>
      <c r="D41" s="37"/>
      <c r="E41" s="37"/>
      <c r="F41" s="38"/>
      <c r="G41" s="12">
        <f>G38*I41</f>
        <v>698.33300000000008</v>
      </c>
      <c r="I41" s="4">
        <v>0.1</v>
      </c>
    </row>
    <row r="42" spans="2:9" ht="15.75" x14ac:dyDescent="0.25">
      <c r="B42" s="36" t="s">
        <v>42</v>
      </c>
      <c r="C42" s="37"/>
      <c r="D42" s="37"/>
      <c r="E42" s="37" t="s">
        <v>17</v>
      </c>
      <c r="F42" s="38"/>
      <c r="G42" s="12">
        <f>G41*I42</f>
        <v>139.66660000000002</v>
      </c>
      <c r="I42" s="4">
        <v>0.2</v>
      </c>
    </row>
    <row r="43" spans="2:9" ht="15.75" x14ac:dyDescent="0.25">
      <c r="B43" s="36" t="s">
        <v>43</v>
      </c>
      <c r="C43" s="37"/>
      <c r="D43" s="37"/>
      <c r="E43" s="37"/>
      <c r="F43" s="38"/>
      <c r="G43" s="20">
        <f>G40-G41-G42</f>
        <v>7541.9963999999982</v>
      </c>
    </row>
    <row r="44" spans="2:9" ht="15.75" x14ac:dyDescent="0.25">
      <c r="B44" s="14"/>
      <c r="C44" s="14"/>
      <c r="D44" s="14"/>
      <c r="E44" s="14"/>
      <c r="F44" s="14"/>
      <c r="G44" s="14"/>
    </row>
    <row r="45" spans="2:9" ht="15.75" x14ac:dyDescent="0.25">
      <c r="B45" s="14" t="s">
        <v>193</v>
      </c>
      <c r="C45" s="14"/>
      <c r="D45" s="14"/>
      <c r="E45" s="14"/>
      <c r="F45" s="14"/>
      <c r="G45" s="14"/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 t="s">
        <v>44</v>
      </c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 t="s">
        <v>46</v>
      </c>
      <c r="C53" s="14"/>
      <c r="D53" s="14"/>
      <c r="E53" s="14"/>
      <c r="F53" s="14"/>
      <c r="G53" s="14"/>
    </row>
  </sheetData>
  <mergeCells count="19">
    <mergeCell ref="C34:D34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B41:F41"/>
    <mergeCell ref="B42:F42"/>
    <mergeCell ref="B43:F43"/>
    <mergeCell ref="C35:D35"/>
    <mergeCell ref="B36:F36"/>
    <mergeCell ref="B37:D37"/>
    <mergeCell ref="B38:F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53"/>
  <sheetViews>
    <sheetView view="pageBreakPreview" zoomScale="90" zoomScaleNormal="100" zoomScaleSheetLayoutView="90" workbookViewId="0">
      <selection sqref="A1:H52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20260102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195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194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59774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230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191</v>
      </c>
      <c r="D32" s="43"/>
      <c r="E32" s="26">
        <v>1</v>
      </c>
      <c r="F32" s="18">
        <v>6083.33</v>
      </c>
      <c r="G32" s="18">
        <f>F32*E32</f>
        <v>6083.33</v>
      </c>
    </row>
    <row r="33" spans="2:9" ht="15" customHeight="1" x14ac:dyDescent="0.25">
      <c r="B33" s="10" t="s">
        <v>53</v>
      </c>
      <c r="C33" s="42" t="s">
        <v>192</v>
      </c>
      <c r="D33" s="43"/>
      <c r="E33" s="26">
        <v>1</v>
      </c>
      <c r="F33" s="18">
        <v>600</v>
      </c>
      <c r="G33" s="18">
        <f t="shared" ref="G33" si="0">F33*E33</f>
        <v>600</v>
      </c>
    </row>
    <row r="34" spans="2:9" ht="15.75" x14ac:dyDescent="0.25">
      <c r="B34" s="10"/>
      <c r="C34" s="42"/>
      <c r="D34" s="43"/>
      <c r="E34" s="26"/>
      <c r="F34" s="18"/>
      <c r="G34" s="18"/>
    </row>
    <row r="35" spans="2:9" ht="15.75" x14ac:dyDescent="0.25">
      <c r="B35" s="10"/>
      <c r="C35" s="39"/>
      <c r="D35" s="41"/>
      <c r="E35" s="19"/>
      <c r="F35" s="12"/>
      <c r="G35" s="12"/>
    </row>
    <row r="36" spans="2:9" ht="15.75" x14ac:dyDescent="0.25">
      <c r="B36" s="36" t="s">
        <v>37</v>
      </c>
      <c r="C36" s="37"/>
      <c r="D36" s="37"/>
      <c r="E36" s="37"/>
      <c r="F36" s="38"/>
      <c r="G36" s="13">
        <f>SUM(G32:G35)</f>
        <v>6683.33</v>
      </c>
    </row>
    <row r="37" spans="2:9" ht="15.75" x14ac:dyDescent="0.25">
      <c r="B37" s="39" t="s">
        <v>45</v>
      </c>
      <c r="C37" s="40"/>
      <c r="D37" s="41"/>
      <c r="E37" s="19"/>
      <c r="F37" s="12"/>
      <c r="G37" s="12">
        <v>300</v>
      </c>
    </row>
    <row r="38" spans="2:9" ht="15.75" x14ac:dyDescent="0.25">
      <c r="B38" s="36" t="s">
        <v>38</v>
      </c>
      <c r="C38" s="37"/>
      <c r="D38" s="37"/>
      <c r="E38" s="37"/>
      <c r="F38" s="38"/>
      <c r="G38" s="13">
        <f>+G36+G37</f>
        <v>6983.33</v>
      </c>
    </row>
    <row r="39" spans="2:9" ht="15.75" x14ac:dyDescent="0.25">
      <c r="B39" s="36" t="s">
        <v>39</v>
      </c>
      <c r="C39" s="37"/>
      <c r="D39" s="37"/>
      <c r="E39" s="37"/>
      <c r="F39" s="38"/>
      <c r="G39" s="12">
        <f>+G38*I39</f>
        <v>1396.6660000000002</v>
      </c>
      <c r="I39" s="4">
        <v>0.2</v>
      </c>
    </row>
    <row r="40" spans="2:9" ht="15.75" x14ac:dyDescent="0.25">
      <c r="B40" s="36" t="s">
        <v>40</v>
      </c>
      <c r="C40" s="37"/>
      <c r="D40" s="37"/>
      <c r="E40" s="37"/>
      <c r="F40" s="38"/>
      <c r="G40" s="12">
        <f>+G38+G39</f>
        <v>8379.9959999999992</v>
      </c>
    </row>
    <row r="41" spans="2:9" ht="15.75" x14ac:dyDescent="0.25">
      <c r="B41" s="36" t="s">
        <v>41</v>
      </c>
      <c r="C41" s="37"/>
      <c r="D41" s="37"/>
      <c r="E41" s="37"/>
      <c r="F41" s="38"/>
      <c r="G41" s="12">
        <f>G38*I41</f>
        <v>698.33300000000008</v>
      </c>
      <c r="I41" s="4">
        <v>0.1</v>
      </c>
    </row>
    <row r="42" spans="2:9" ht="15.75" x14ac:dyDescent="0.25">
      <c r="B42" s="36" t="s">
        <v>42</v>
      </c>
      <c r="C42" s="37"/>
      <c r="D42" s="37"/>
      <c r="E42" s="37" t="s">
        <v>17</v>
      </c>
      <c r="F42" s="38"/>
      <c r="G42" s="12">
        <f>G41*I42</f>
        <v>139.66660000000002</v>
      </c>
      <c r="I42" s="4">
        <v>0.2</v>
      </c>
    </row>
    <row r="43" spans="2:9" ht="15.75" x14ac:dyDescent="0.25">
      <c r="B43" s="36" t="s">
        <v>43</v>
      </c>
      <c r="C43" s="37"/>
      <c r="D43" s="37"/>
      <c r="E43" s="37"/>
      <c r="F43" s="38"/>
      <c r="G43" s="20">
        <f>G40-G41-G42</f>
        <v>7541.9963999999982</v>
      </c>
    </row>
    <row r="44" spans="2:9" ht="15.75" x14ac:dyDescent="0.25">
      <c r="B44" s="14"/>
      <c r="C44" s="14"/>
      <c r="D44" s="14"/>
      <c r="E44" s="14"/>
      <c r="F44" s="14"/>
      <c r="G44" s="14"/>
    </row>
    <row r="45" spans="2:9" ht="15.75" x14ac:dyDescent="0.25">
      <c r="B45" s="14" t="s">
        <v>196</v>
      </c>
      <c r="C45" s="14"/>
      <c r="D45" s="14"/>
      <c r="E45" s="14"/>
      <c r="F45" s="14"/>
      <c r="G45" s="14"/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 t="s">
        <v>44</v>
      </c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 t="s">
        <v>46</v>
      </c>
      <c r="C53" s="14"/>
      <c r="D53" s="14"/>
      <c r="E53" s="14"/>
      <c r="F53" s="14"/>
      <c r="G53" s="14"/>
    </row>
  </sheetData>
  <mergeCells count="19">
    <mergeCell ref="C34:D34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B41:F41"/>
    <mergeCell ref="B42:F42"/>
    <mergeCell ref="B43:F43"/>
    <mergeCell ref="C35:D35"/>
    <mergeCell ref="B36:F36"/>
    <mergeCell ref="B37:D37"/>
    <mergeCell ref="B38:F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-0.249977111117893"/>
  </sheetPr>
  <dimension ref="A1:I53"/>
  <sheetViews>
    <sheetView view="pageBreakPreview" topLeftCell="A13" zoomScale="90" zoomScaleNormal="100" zoomScaleSheetLayoutView="90" workbookViewId="0">
      <selection sqref="A1:H52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20260103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197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57190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231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198</v>
      </c>
      <c r="D32" s="43"/>
      <c r="E32" s="26">
        <v>1</v>
      </c>
      <c r="F32" s="18">
        <v>6083.33</v>
      </c>
      <c r="G32" s="18">
        <f>F32*E32</f>
        <v>6083.33</v>
      </c>
    </row>
    <row r="33" spans="2:9" ht="15" customHeight="1" x14ac:dyDescent="0.25">
      <c r="B33" s="10" t="s">
        <v>53</v>
      </c>
      <c r="C33" s="42" t="s">
        <v>199</v>
      </c>
      <c r="D33" s="43"/>
      <c r="E33" s="26">
        <v>1</v>
      </c>
      <c r="F33" s="18">
        <v>600</v>
      </c>
      <c r="G33" s="18">
        <f t="shared" ref="G33" si="0">F33*E33</f>
        <v>600</v>
      </c>
    </row>
    <row r="34" spans="2:9" ht="15.75" x14ac:dyDescent="0.25">
      <c r="B34" s="10"/>
      <c r="C34" s="42"/>
      <c r="D34" s="43"/>
      <c r="E34" s="26"/>
      <c r="F34" s="18"/>
      <c r="G34" s="18"/>
    </row>
    <row r="35" spans="2:9" ht="15.75" x14ac:dyDescent="0.25">
      <c r="B35" s="10"/>
      <c r="C35" s="39"/>
      <c r="D35" s="41"/>
      <c r="E35" s="19"/>
      <c r="F35" s="12"/>
      <c r="G35" s="12"/>
    </row>
    <row r="36" spans="2:9" ht="15.75" x14ac:dyDescent="0.25">
      <c r="B36" s="36" t="s">
        <v>37</v>
      </c>
      <c r="C36" s="37"/>
      <c r="D36" s="37"/>
      <c r="E36" s="37"/>
      <c r="F36" s="38"/>
      <c r="G36" s="13">
        <f>SUM(G32:G35)</f>
        <v>6683.33</v>
      </c>
    </row>
    <row r="37" spans="2:9" ht="15.75" x14ac:dyDescent="0.25">
      <c r="B37" s="39" t="s">
        <v>45</v>
      </c>
      <c r="C37" s="40"/>
      <c r="D37" s="41"/>
      <c r="E37" s="19"/>
      <c r="F37" s="12"/>
      <c r="G37" s="12">
        <v>300</v>
      </c>
    </row>
    <row r="38" spans="2:9" ht="15.75" x14ac:dyDescent="0.25">
      <c r="B38" s="36" t="s">
        <v>38</v>
      </c>
      <c r="C38" s="37"/>
      <c r="D38" s="37"/>
      <c r="E38" s="37"/>
      <c r="F38" s="38"/>
      <c r="G38" s="13">
        <f>+G36+G37</f>
        <v>6983.33</v>
      </c>
    </row>
    <row r="39" spans="2:9" ht="15.75" x14ac:dyDescent="0.25">
      <c r="B39" s="36" t="s">
        <v>39</v>
      </c>
      <c r="C39" s="37"/>
      <c r="D39" s="37"/>
      <c r="E39" s="37"/>
      <c r="F39" s="38"/>
      <c r="G39" s="12">
        <f>+G38*I39</f>
        <v>1396.6660000000002</v>
      </c>
      <c r="I39" s="4">
        <v>0.2</v>
      </c>
    </row>
    <row r="40" spans="2:9" ht="15.75" x14ac:dyDescent="0.25">
      <c r="B40" s="36" t="s">
        <v>40</v>
      </c>
      <c r="C40" s="37"/>
      <c r="D40" s="37"/>
      <c r="E40" s="37"/>
      <c r="F40" s="38"/>
      <c r="G40" s="12">
        <f>+G38+G39</f>
        <v>8379.9959999999992</v>
      </c>
    </row>
    <row r="41" spans="2:9" ht="15.75" x14ac:dyDescent="0.25">
      <c r="B41" s="36" t="s">
        <v>41</v>
      </c>
      <c r="C41" s="37"/>
      <c r="D41" s="37"/>
      <c r="E41" s="37"/>
      <c r="F41" s="38"/>
      <c r="G41" s="12">
        <f>G38*I41</f>
        <v>698.33300000000008</v>
      </c>
      <c r="I41" s="4">
        <v>0.1</v>
      </c>
    </row>
    <row r="42" spans="2:9" ht="15.75" x14ac:dyDescent="0.25">
      <c r="B42" s="36" t="s">
        <v>42</v>
      </c>
      <c r="C42" s="37"/>
      <c r="D42" s="37"/>
      <c r="E42" s="37" t="s">
        <v>17</v>
      </c>
      <c r="F42" s="38"/>
      <c r="G42" s="12">
        <f>G41*I42</f>
        <v>139.66660000000002</v>
      </c>
      <c r="I42" s="4">
        <v>0.2</v>
      </c>
    </row>
    <row r="43" spans="2:9" ht="15.75" x14ac:dyDescent="0.25">
      <c r="B43" s="36" t="s">
        <v>43</v>
      </c>
      <c r="C43" s="37"/>
      <c r="D43" s="37"/>
      <c r="E43" s="37"/>
      <c r="F43" s="38"/>
      <c r="G43" s="20">
        <f>G40-G41-G42</f>
        <v>7541.9963999999982</v>
      </c>
    </row>
    <row r="44" spans="2:9" ht="15.75" x14ac:dyDescent="0.25">
      <c r="B44" s="14"/>
      <c r="C44" s="14"/>
      <c r="D44" s="14"/>
      <c r="E44" s="14"/>
      <c r="F44" s="14"/>
      <c r="G44" s="14"/>
    </row>
    <row r="45" spans="2:9" ht="15.75" x14ac:dyDescent="0.25">
      <c r="B45" s="14" t="s">
        <v>196</v>
      </c>
      <c r="C45" s="14"/>
      <c r="D45" s="14"/>
      <c r="E45" s="14"/>
      <c r="F45" s="14"/>
      <c r="G45" s="14"/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 t="s">
        <v>44</v>
      </c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 t="s">
        <v>46</v>
      </c>
      <c r="C53" s="14"/>
      <c r="D53" s="14"/>
      <c r="E53" s="14"/>
      <c r="F53" s="14"/>
      <c r="G53" s="14"/>
    </row>
  </sheetData>
  <mergeCells count="19">
    <mergeCell ref="C34:D34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B41:F41"/>
    <mergeCell ref="B42:F42"/>
    <mergeCell ref="B43:F43"/>
    <mergeCell ref="C35:D35"/>
    <mergeCell ref="B36:F36"/>
    <mergeCell ref="B37:D37"/>
    <mergeCell ref="B38:F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53"/>
  <sheetViews>
    <sheetView view="pageBreakPreview" topLeftCell="A10" zoomScale="90" zoomScaleNormal="100" zoomScaleSheetLayoutView="90" workbookViewId="0">
      <selection activeCell="G40" sqref="G40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20260105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200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100980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232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191</v>
      </c>
      <c r="D32" s="43"/>
      <c r="E32" s="26">
        <v>1</v>
      </c>
      <c r="F32" s="18">
        <v>6083.33</v>
      </c>
      <c r="G32" s="18">
        <f>F32*E32</f>
        <v>6083.33</v>
      </c>
    </row>
    <row r="33" spans="2:9" ht="15" customHeight="1" x14ac:dyDescent="0.25">
      <c r="B33" s="10" t="s">
        <v>53</v>
      </c>
      <c r="C33" s="42" t="s">
        <v>192</v>
      </c>
      <c r="D33" s="43"/>
      <c r="E33" s="26">
        <v>1</v>
      </c>
      <c r="F33" s="18">
        <v>600</v>
      </c>
      <c r="G33" s="18">
        <f t="shared" ref="G33" si="0">F33*E33</f>
        <v>600</v>
      </c>
    </row>
    <row r="34" spans="2:9" ht="15.75" x14ac:dyDescent="0.25">
      <c r="B34" s="10"/>
      <c r="C34" s="42"/>
      <c r="D34" s="43"/>
      <c r="E34" s="26"/>
      <c r="F34" s="18"/>
      <c r="G34" s="18"/>
    </row>
    <row r="35" spans="2:9" ht="15.75" x14ac:dyDescent="0.25">
      <c r="B35" s="10"/>
      <c r="C35" s="39"/>
      <c r="D35" s="41"/>
      <c r="E35" s="19"/>
      <c r="F35" s="12"/>
      <c r="G35" s="12"/>
    </row>
    <row r="36" spans="2:9" ht="15.75" x14ac:dyDescent="0.25">
      <c r="B36" s="36" t="s">
        <v>37</v>
      </c>
      <c r="C36" s="37"/>
      <c r="D36" s="37"/>
      <c r="E36" s="37"/>
      <c r="F36" s="38"/>
      <c r="G36" s="13">
        <f>SUM(G32:G35)</f>
        <v>6683.33</v>
      </c>
    </row>
    <row r="37" spans="2:9" ht="15.75" x14ac:dyDescent="0.25">
      <c r="B37" s="39" t="s">
        <v>45</v>
      </c>
      <c r="C37" s="40"/>
      <c r="D37" s="41"/>
      <c r="E37" s="19"/>
      <c r="F37" s="12"/>
      <c r="G37" s="12">
        <v>300</v>
      </c>
    </row>
    <row r="38" spans="2:9" ht="15.75" x14ac:dyDescent="0.25">
      <c r="B38" s="36" t="s">
        <v>38</v>
      </c>
      <c r="C38" s="37"/>
      <c r="D38" s="37"/>
      <c r="E38" s="37"/>
      <c r="F38" s="38"/>
      <c r="G38" s="13">
        <f>+G36+G37</f>
        <v>6983.33</v>
      </c>
    </row>
    <row r="39" spans="2:9" ht="15.75" x14ac:dyDescent="0.25">
      <c r="B39" s="36" t="s">
        <v>39</v>
      </c>
      <c r="C39" s="37"/>
      <c r="D39" s="37"/>
      <c r="E39" s="37"/>
      <c r="F39" s="38"/>
      <c r="G39" s="12">
        <f>+G38*I39</f>
        <v>1396.6660000000002</v>
      </c>
      <c r="I39" s="4">
        <v>0.2</v>
      </c>
    </row>
    <row r="40" spans="2:9" ht="15.75" x14ac:dyDescent="0.25">
      <c r="B40" s="36" t="s">
        <v>40</v>
      </c>
      <c r="C40" s="37"/>
      <c r="D40" s="37"/>
      <c r="E40" s="37"/>
      <c r="F40" s="38"/>
      <c r="G40" s="12">
        <f>+G38+G39</f>
        <v>8379.9959999999992</v>
      </c>
    </row>
    <row r="41" spans="2:9" ht="15.75" x14ac:dyDescent="0.25">
      <c r="B41" s="36" t="s">
        <v>41</v>
      </c>
      <c r="C41" s="37"/>
      <c r="D41" s="37"/>
      <c r="E41" s="37"/>
      <c r="F41" s="38"/>
      <c r="G41" s="12">
        <f>G38*I41</f>
        <v>698.33300000000008</v>
      </c>
      <c r="I41" s="4">
        <v>0.1</v>
      </c>
    </row>
    <row r="42" spans="2:9" ht="15.75" x14ac:dyDescent="0.25">
      <c r="B42" s="36" t="s">
        <v>42</v>
      </c>
      <c r="C42" s="37"/>
      <c r="D42" s="37"/>
      <c r="E42" s="37" t="s">
        <v>17</v>
      </c>
      <c r="F42" s="38"/>
      <c r="G42" s="12">
        <f>G41*I42</f>
        <v>139.66660000000002</v>
      </c>
      <c r="I42" s="4">
        <v>0.2</v>
      </c>
    </row>
    <row r="43" spans="2:9" ht="15.75" x14ac:dyDescent="0.25">
      <c r="B43" s="36" t="s">
        <v>43</v>
      </c>
      <c r="C43" s="37"/>
      <c r="D43" s="37"/>
      <c r="E43" s="37"/>
      <c r="F43" s="38"/>
      <c r="G43" s="20">
        <f>G40-G41-G42</f>
        <v>7541.9963999999982</v>
      </c>
    </row>
    <row r="44" spans="2:9" ht="15.75" x14ac:dyDescent="0.25">
      <c r="B44" s="14"/>
      <c r="C44" s="14"/>
      <c r="D44" s="14"/>
      <c r="E44" s="14"/>
      <c r="F44" s="14"/>
      <c r="G44" s="14"/>
    </row>
    <row r="45" spans="2:9" ht="15.75" x14ac:dyDescent="0.25">
      <c r="B45" s="14" t="s">
        <v>193</v>
      </c>
      <c r="C45" s="14"/>
      <c r="D45" s="14"/>
      <c r="E45" s="14"/>
      <c r="F45" s="14"/>
      <c r="G45" s="14"/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 t="s">
        <v>44</v>
      </c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 t="s">
        <v>46</v>
      </c>
      <c r="C53" s="14"/>
      <c r="D53" s="14"/>
      <c r="E53" s="14"/>
      <c r="F53" s="14"/>
      <c r="G53" s="14"/>
    </row>
  </sheetData>
  <mergeCells count="19">
    <mergeCell ref="C34:D34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B41:F41"/>
    <mergeCell ref="B42:F42"/>
    <mergeCell ref="B43:F43"/>
    <mergeCell ref="C35:D35"/>
    <mergeCell ref="B36:F36"/>
    <mergeCell ref="B37:D37"/>
    <mergeCell ref="B38:F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53"/>
  <sheetViews>
    <sheetView view="pageBreakPreview" topLeftCell="A6" zoomScale="90" zoomScaleNormal="100" zoomScaleSheetLayoutView="90" workbookViewId="0">
      <selection sqref="A1:H52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2026099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117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210831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233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191</v>
      </c>
      <c r="D32" s="43"/>
      <c r="E32" s="26">
        <v>1</v>
      </c>
      <c r="F32" s="18">
        <v>6083.33</v>
      </c>
      <c r="G32" s="18">
        <f>F32*E32</f>
        <v>6083.33</v>
      </c>
    </row>
    <row r="33" spans="2:9" ht="15" customHeight="1" x14ac:dyDescent="0.25">
      <c r="B33" s="10" t="s">
        <v>53</v>
      </c>
      <c r="C33" s="42" t="s">
        <v>192</v>
      </c>
      <c r="D33" s="43"/>
      <c r="E33" s="26">
        <v>1</v>
      </c>
      <c r="F33" s="18">
        <v>600</v>
      </c>
      <c r="G33" s="18">
        <f t="shared" ref="G33" si="0">F33*E33</f>
        <v>600</v>
      </c>
    </row>
    <row r="34" spans="2:9" ht="15.75" x14ac:dyDescent="0.25">
      <c r="B34" s="10"/>
      <c r="C34" s="42"/>
      <c r="D34" s="43"/>
      <c r="E34" s="26"/>
      <c r="F34" s="18"/>
      <c r="G34" s="18"/>
    </row>
    <row r="35" spans="2:9" ht="15.75" x14ac:dyDescent="0.25">
      <c r="B35" s="10"/>
      <c r="C35" s="39"/>
      <c r="D35" s="41"/>
      <c r="E35" s="19"/>
      <c r="F35" s="12"/>
      <c r="G35" s="12"/>
    </row>
    <row r="36" spans="2:9" ht="15.75" x14ac:dyDescent="0.25">
      <c r="B36" s="36" t="s">
        <v>37</v>
      </c>
      <c r="C36" s="37"/>
      <c r="D36" s="37"/>
      <c r="E36" s="37"/>
      <c r="F36" s="38"/>
      <c r="G36" s="13">
        <f>SUM(G32:G35)</f>
        <v>6683.33</v>
      </c>
    </row>
    <row r="37" spans="2:9" ht="15.75" x14ac:dyDescent="0.25">
      <c r="B37" s="39" t="s">
        <v>45</v>
      </c>
      <c r="C37" s="40"/>
      <c r="D37" s="41"/>
      <c r="E37" s="19"/>
      <c r="F37" s="12"/>
      <c r="G37" s="12">
        <v>300</v>
      </c>
    </row>
    <row r="38" spans="2:9" ht="15.75" x14ac:dyDescent="0.25">
      <c r="B38" s="36" t="s">
        <v>38</v>
      </c>
      <c r="C38" s="37"/>
      <c r="D38" s="37"/>
      <c r="E38" s="37"/>
      <c r="F38" s="38"/>
      <c r="G38" s="13">
        <f>+G36+G37</f>
        <v>6983.33</v>
      </c>
    </row>
    <row r="39" spans="2:9" ht="15.75" x14ac:dyDescent="0.25">
      <c r="B39" s="36" t="s">
        <v>39</v>
      </c>
      <c r="C39" s="37"/>
      <c r="D39" s="37"/>
      <c r="E39" s="37"/>
      <c r="F39" s="38"/>
      <c r="G39" s="12">
        <f>+G38*I39</f>
        <v>1396.6660000000002</v>
      </c>
      <c r="I39" s="4">
        <v>0.2</v>
      </c>
    </row>
    <row r="40" spans="2:9" ht="15.75" x14ac:dyDescent="0.25">
      <c r="B40" s="36" t="s">
        <v>40</v>
      </c>
      <c r="C40" s="37"/>
      <c r="D40" s="37"/>
      <c r="E40" s="37"/>
      <c r="F40" s="38"/>
      <c r="G40" s="12">
        <f>+G38+G39</f>
        <v>8379.9959999999992</v>
      </c>
    </row>
    <row r="41" spans="2:9" ht="15.75" x14ac:dyDescent="0.25">
      <c r="B41" s="36" t="s">
        <v>41</v>
      </c>
      <c r="C41" s="37"/>
      <c r="D41" s="37"/>
      <c r="E41" s="37"/>
      <c r="F41" s="38"/>
      <c r="G41" s="12">
        <f>G38*I41</f>
        <v>698.33300000000008</v>
      </c>
      <c r="I41" s="4">
        <v>0.1</v>
      </c>
    </row>
    <row r="42" spans="2:9" ht="15.75" x14ac:dyDescent="0.25">
      <c r="B42" s="36" t="s">
        <v>42</v>
      </c>
      <c r="C42" s="37"/>
      <c r="D42" s="37"/>
      <c r="E42" s="37" t="s">
        <v>17</v>
      </c>
      <c r="F42" s="38"/>
      <c r="G42" s="12">
        <f>G41*I42</f>
        <v>139.66660000000002</v>
      </c>
      <c r="I42" s="4">
        <v>0.2</v>
      </c>
    </row>
    <row r="43" spans="2:9" ht="15.75" x14ac:dyDescent="0.25">
      <c r="B43" s="36" t="s">
        <v>43</v>
      </c>
      <c r="C43" s="37"/>
      <c r="D43" s="37"/>
      <c r="E43" s="37"/>
      <c r="F43" s="38"/>
      <c r="G43" s="20">
        <f>G40-G41-G42</f>
        <v>7541.9963999999982</v>
      </c>
    </row>
    <row r="44" spans="2:9" ht="15.75" x14ac:dyDescent="0.25">
      <c r="B44" s="14"/>
      <c r="C44" s="14"/>
      <c r="D44" s="14"/>
      <c r="E44" s="14"/>
      <c r="F44" s="14"/>
      <c r="G44" s="14"/>
    </row>
    <row r="45" spans="2:9" ht="15.75" x14ac:dyDescent="0.25">
      <c r="B45" s="14" t="s">
        <v>193</v>
      </c>
      <c r="C45" s="14"/>
      <c r="D45" s="14"/>
      <c r="E45" s="14"/>
      <c r="F45" s="14"/>
      <c r="G45" s="14"/>
    </row>
    <row r="46" spans="2:9" ht="15.75" x14ac:dyDescent="0.25">
      <c r="B46" s="14"/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 t="s">
        <v>44</v>
      </c>
      <c r="F48" s="14"/>
      <c r="G48" s="14"/>
    </row>
    <row r="49" spans="2:7" ht="15.75" x14ac:dyDescent="0.25">
      <c r="B49" s="14"/>
      <c r="C49" s="14"/>
      <c r="D49" s="14"/>
      <c r="E49" s="14"/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 t="s">
        <v>46</v>
      </c>
      <c r="C53" s="14"/>
      <c r="D53" s="14"/>
      <c r="E53" s="14"/>
      <c r="F53" s="14"/>
      <c r="G53" s="14"/>
    </row>
  </sheetData>
  <mergeCells count="19">
    <mergeCell ref="C34:D34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B41:F41"/>
    <mergeCell ref="B42:F42"/>
    <mergeCell ref="B43:F43"/>
    <mergeCell ref="C35:D35"/>
    <mergeCell ref="B36:F36"/>
    <mergeCell ref="B37:D37"/>
    <mergeCell ref="B38:F38"/>
    <mergeCell ref="B39:F39"/>
    <mergeCell ref="B40:F40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59"/>
  <sheetViews>
    <sheetView view="pageBreakPreview" topLeftCell="A11" zoomScale="90" zoomScaleNormal="100" zoomScaleSheetLayoutView="90" workbookViewId="0">
      <selection sqref="A1:H58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20260100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246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201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246235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234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202</v>
      </c>
      <c r="D32" s="43"/>
      <c r="E32" s="26">
        <v>5</v>
      </c>
      <c r="F32" s="18">
        <v>180</v>
      </c>
      <c r="G32" s="18">
        <f>F32*E32</f>
        <v>900</v>
      </c>
    </row>
    <row r="33" spans="2:9" ht="15" customHeight="1" x14ac:dyDescent="0.25">
      <c r="B33" s="10" t="s">
        <v>53</v>
      </c>
      <c r="C33" s="42" t="s">
        <v>57</v>
      </c>
      <c r="D33" s="43"/>
      <c r="E33" s="26">
        <v>1</v>
      </c>
      <c r="F33" s="18">
        <v>232</v>
      </c>
      <c r="G33" s="18">
        <f t="shared" ref="G33:G39" si="0">F33*E33</f>
        <v>232</v>
      </c>
    </row>
    <row r="34" spans="2:9" ht="15.75" x14ac:dyDescent="0.25">
      <c r="B34" s="10" t="s">
        <v>55</v>
      </c>
      <c r="C34" s="42" t="s">
        <v>203</v>
      </c>
      <c r="D34" s="43"/>
      <c r="E34" s="26">
        <v>4</v>
      </c>
      <c r="F34" s="18">
        <v>1010</v>
      </c>
      <c r="G34" s="18">
        <f t="shared" si="0"/>
        <v>4040</v>
      </c>
    </row>
    <row r="35" spans="2:9" ht="15.75" x14ac:dyDescent="0.25">
      <c r="B35" s="10" t="s">
        <v>56</v>
      </c>
      <c r="C35" s="42" t="s">
        <v>204</v>
      </c>
      <c r="D35" s="43"/>
      <c r="E35" s="26">
        <v>2</v>
      </c>
      <c r="F35" s="18">
        <v>150</v>
      </c>
      <c r="G35" s="18">
        <f t="shared" si="0"/>
        <v>300</v>
      </c>
    </row>
    <row r="36" spans="2:9" ht="15.75" x14ac:dyDescent="0.25">
      <c r="B36" s="10" t="s">
        <v>62</v>
      </c>
      <c r="C36" s="44" t="s">
        <v>205</v>
      </c>
      <c r="D36" s="45"/>
      <c r="E36" s="3">
        <v>2</v>
      </c>
      <c r="F36" s="18">
        <v>180</v>
      </c>
      <c r="G36" s="18">
        <f t="shared" si="0"/>
        <v>360</v>
      </c>
    </row>
    <row r="37" spans="2:9" ht="15.75" x14ac:dyDescent="0.25">
      <c r="B37" s="10" t="s">
        <v>63</v>
      </c>
      <c r="C37" s="42" t="s">
        <v>206</v>
      </c>
      <c r="D37" s="43"/>
      <c r="E37" s="3">
        <v>1</v>
      </c>
      <c r="F37" s="18">
        <v>855</v>
      </c>
      <c r="G37" s="18">
        <f t="shared" si="0"/>
        <v>855</v>
      </c>
    </row>
    <row r="38" spans="2:9" ht="15.75" x14ac:dyDescent="0.25">
      <c r="B38" s="10" t="s">
        <v>64</v>
      </c>
      <c r="C38" s="42" t="s">
        <v>207</v>
      </c>
      <c r="D38" s="43"/>
      <c r="E38" s="3">
        <v>1</v>
      </c>
      <c r="F38" s="18">
        <v>365</v>
      </c>
      <c r="G38" s="18">
        <f t="shared" si="0"/>
        <v>365</v>
      </c>
    </row>
    <row r="39" spans="2:9" ht="15.75" x14ac:dyDescent="0.25">
      <c r="B39" s="10" t="s">
        <v>65</v>
      </c>
      <c r="C39" s="48" t="s">
        <v>208</v>
      </c>
      <c r="D39" s="49"/>
      <c r="E39" s="3">
        <v>1</v>
      </c>
      <c r="F39" s="18">
        <v>950</v>
      </c>
      <c r="G39" s="18">
        <f t="shared" si="0"/>
        <v>950</v>
      </c>
    </row>
    <row r="40" spans="2:9" ht="14.25" customHeight="1" x14ac:dyDescent="0.25">
      <c r="B40" s="10"/>
      <c r="C40" s="42"/>
      <c r="D40" s="43"/>
      <c r="E40" s="26"/>
      <c r="F40" s="18"/>
      <c r="G40" s="18"/>
    </row>
    <row r="41" spans="2:9" ht="15.75" x14ac:dyDescent="0.25">
      <c r="B41" s="10"/>
      <c r="C41" s="39"/>
      <c r="D41" s="41"/>
      <c r="E41" s="19"/>
      <c r="F41" s="12"/>
      <c r="G41" s="12"/>
    </row>
    <row r="42" spans="2:9" ht="15.75" x14ac:dyDescent="0.25">
      <c r="B42" s="36" t="s">
        <v>37</v>
      </c>
      <c r="C42" s="37"/>
      <c r="D42" s="37"/>
      <c r="E42" s="37"/>
      <c r="F42" s="38"/>
      <c r="G42" s="13">
        <f>SUM(G32:G41)</f>
        <v>8002</v>
      </c>
    </row>
    <row r="43" spans="2:9" ht="15.75" x14ac:dyDescent="0.25">
      <c r="B43" s="39" t="s">
        <v>45</v>
      </c>
      <c r="C43" s="40"/>
      <c r="D43" s="41"/>
      <c r="E43" s="19"/>
      <c r="F43" s="12"/>
      <c r="G43" s="12">
        <v>299.67</v>
      </c>
    </row>
    <row r="44" spans="2:9" ht="15.75" x14ac:dyDescent="0.25">
      <c r="B44" s="36" t="s">
        <v>38</v>
      </c>
      <c r="C44" s="37"/>
      <c r="D44" s="37"/>
      <c r="E44" s="37"/>
      <c r="F44" s="38"/>
      <c r="G44" s="13">
        <f>+G42+G43</f>
        <v>8301.67</v>
      </c>
    </row>
    <row r="45" spans="2:9" ht="15.75" x14ac:dyDescent="0.25">
      <c r="B45" s="36" t="s">
        <v>39</v>
      </c>
      <c r="C45" s="37"/>
      <c r="D45" s="37"/>
      <c r="E45" s="37"/>
      <c r="F45" s="38"/>
      <c r="G45" s="12">
        <f>+G44*I45</f>
        <v>1660.3340000000001</v>
      </c>
      <c r="I45" s="4">
        <v>0.2</v>
      </c>
    </row>
    <row r="46" spans="2:9" ht="15.75" x14ac:dyDescent="0.25">
      <c r="B46" s="36" t="s">
        <v>40</v>
      </c>
      <c r="C46" s="37"/>
      <c r="D46" s="37"/>
      <c r="E46" s="37"/>
      <c r="F46" s="38"/>
      <c r="G46" s="12">
        <f>+G44+G45</f>
        <v>9962.0040000000008</v>
      </c>
    </row>
    <row r="47" spans="2:9" ht="15.75" x14ac:dyDescent="0.25">
      <c r="B47" s="36" t="s">
        <v>41</v>
      </c>
      <c r="C47" s="37"/>
      <c r="D47" s="37"/>
      <c r="E47" s="37"/>
      <c r="F47" s="38"/>
      <c r="G47" s="12">
        <f>G44*I47</f>
        <v>830.16700000000003</v>
      </c>
      <c r="I47" s="4">
        <v>0.1</v>
      </c>
    </row>
    <row r="48" spans="2:9" ht="15.75" x14ac:dyDescent="0.25">
      <c r="B48" s="36" t="s">
        <v>42</v>
      </c>
      <c r="C48" s="37"/>
      <c r="D48" s="37"/>
      <c r="E48" s="37" t="s">
        <v>17</v>
      </c>
      <c r="F48" s="38"/>
      <c r="G48" s="12">
        <f>G47*I48</f>
        <v>166.03340000000003</v>
      </c>
      <c r="I48" s="4">
        <v>0.2</v>
      </c>
    </row>
    <row r="49" spans="2:7" ht="15.75" x14ac:dyDescent="0.25">
      <c r="B49" s="36" t="s">
        <v>43</v>
      </c>
      <c r="C49" s="37"/>
      <c r="D49" s="37"/>
      <c r="E49" s="37"/>
      <c r="F49" s="38"/>
      <c r="G49" s="20">
        <f>G46-G47-G48</f>
        <v>8965.8036000000011</v>
      </c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 t="s">
        <v>209</v>
      </c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/>
      <c r="C54" s="14"/>
      <c r="D54" s="14"/>
      <c r="E54" s="14" t="s">
        <v>44</v>
      </c>
      <c r="F54" s="14"/>
      <c r="G54" s="14"/>
    </row>
    <row r="55" spans="2:7" ht="15.75" x14ac:dyDescent="0.25">
      <c r="B55" s="14"/>
      <c r="C55" s="14"/>
      <c r="D55" s="14"/>
      <c r="E55" s="14"/>
      <c r="F55" s="14"/>
      <c r="G55" s="14"/>
    </row>
    <row r="56" spans="2:7" ht="15.75" x14ac:dyDescent="0.25">
      <c r="B56" s="14"/>
      <c r="C56" s="14"/>
      <c r="D56" s="14"/>
      <c r="E56" s="14"/>
      <c r="F56" s="14"/>
      <c r="G56" s="14"/>
    </row>
    <row r="57" spans="2:7" ht="15.75" x14ac:dyDescent="0.25">
      <c r="B57" s="14"/>
      <c r="C57" s="14"/>
      <c r="D57" s="14"/>
      <c r="E57" s="14"/>
      <c r="F57" s="14"/>
      <c r="G57" s="14"/>
    </row>
    <row r="58" spans="2:7" ht="15.75" x14ac:dyDescent="0.25">
      <c r="B58" s="14"/>
      <c r="C58" s="14"/>
      <c r="D58" s="14"/>
      <c r="E58" s="14"/>
      <c r="F58" s="14"/>
      <c r="G58" s="14"/>
    </row>
    <row r="59" spans="2:7" ht="15.75" x14ac:dyDescent="0.25">
      <c r="B59" s="14" t="s">
        <v>46</v>
      </c>
      <c r="C59" s="14"/>
      <c r="D59" s="14"/>
      <c r="E59" s="14"/>
      <c r="F59" s="14"/>
      <c r="G59" s="14"/>
    </row>
  </sheetData>
  <mergeCells count="25">
    <mergeCell ref="C40:D40"/>
    <mergeCell ref="A1:H3"/>
    <mergeCell ref="D13:E13"/>
    <mergeCell ref="C15:F15"/>
    <mergeCell ref="B18:C18"/>
    <mergeCell ref="D18:E18"/>
    <mergeCell ref="F18:G18"/>
    <mergeCell ref="C36:D36"/>
    <mergeCell ref="C37:D37"/>
    <mergeCell ref="C38:D38"/>
    <mergeCell ref="C39:D39"/>
    <mergeCell ref="C31:D31"/>
    <mergeCell ref="C32:D32"/>
    <mergeCell ref="C33:D33"/>
    <mergeCell ref="C34:D34"/>
    <mergeCell ref="C35:D35"/>
    <mergeCell ref="B47:F47"/>
    <mergeCell ref="B48:F48"/>
    <mergeCell ref="B49:F49"/>
    <mergeCell ref="C41:D41"/>
    <mergeCell ref="B42:F42"/>
    <mergeCell ref="B43:D43"/>
    <mergeCell ref="B44:F44"/>
    <mergeCell ref="B45:F45"/>
    <mergeCell ref="B46:F46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54"/>
  <sheetViews>
    <sheetView view="pageBreakPreview" topLeftCell="A6" zoomScale="90" zoomScaleNormal="100" zoomScaleSheetLayoutView="90" workbookViewId="0">
      <selection activeCell="G41" sqref="G41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20260107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200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69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101074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235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210</v>
      </c>
      <c r="D32" s="43"/>
      <c r="E32" s="26">
        <v>1</v>
      </c>
      <c r="F32" s="18">
        <v>1544.4</v>
      </c>
      <c r="G32" s="18">
        <f>F32*E32</f>
        <v>1544.4</v>
      </c>
    </row>
    <row r="33" spans="2:9" ht="15" customHeight="1" x14ac:dyDescent="0.25">
      <c r="B33" s="10" t="s">
        <v>53</v>
      </c>
      <c r="C33" s="42" t="s">
        <v>211</v>
      </c>
      <c r="D33" s="43"/>
      <c r="E33" s="26">
        <v>1</v>
      </c>
      <c r="F33" s="18">
        <v>1078.0999999999999</v>
      </c>
      <c r="G33" s="18">
        <f t="shared" ref="G33:G34" si="0">F33*E33</f>
        <v>1078.0999999999999</v>
      </c>
    </row>
    <row r="34" spans="2:9" ht="15.75" x14ac:dyDescent="0.25">
      <c r="B34" s="10" t="s">
        <v>55</v>
      </c>
      <c r="C34" s="44" t="s">
        <v>212</v>
      </c>
      <c r="D34" s="45"/>
      <c r="E34" s="3">
        <v>1</v>
      </c>
      <c r="F34" s="18">
        <v>200</v>
      </c>
      <c r="G34" s="18">
        <f t="shared" si="0"/>
        <v>200</v>
      </c>
    </row>
    <row r="35" spans="2:9" ht="15.75" x14ac:dyDescent="0.25">
      <c r="B35" s="10"/>
      <c r="C35" s="42"/>
      <c r="D35" s="43"/>
      <c r="E35" s="26"/>
      <c r="F35" s="18"/>
      <c r="G35" s="18"/>
    </row>
    <row r="36" spans="2:9" ht="15.75" x14ac:dyDescent="0.25">
      <c r="B36" s="10"/>
      <c r="C36" s="39"/>
      <c r="D36" s="41"/>
      <c r="E36" s="19"/>
      <c r="F36" s="12"/>
      <c r="G36" s="12"/>
    </row>
    <row r="37" spans="2:9" ht="15.75" x14ac:dyDescent="0.25">
      <c r="B37" s="36" t="s">
        <v>37</v>
      </c>
      <c r="C37" s="37"/>
      <c r="D37" s="37"/>
      <c r="E37" s="37"/>
      <c r="F37" s="38"/>
      <c r="G37" s="13">
        <f>SUM(G32:G36)</f>
        <v>2822.5</v>
      </c>
    </row>
    <row r="38" spans="2:9" ht="15.75" x14ac:dyDescent="0.25">
      <c r="B38" s="39" t="s">
        <v>45</v>
      </c>
      <c r="C38" s="40"/>
      <c r="D38" s="41"/>
      <c r="E38" s="19"/>
      <c r="F38" s="12"/>
      <c r="G38" s="12">
        <v>300</v>
      </c>
    </row>
    <row r="39" spans="2:9" ht="15.75" x14ac:dyDescent="0.25">
      <c r="B39" s="36" t="s">
        <v>38</v>
      </c>
      <c r="C39" s="37"/>
      <c r="D39" s="37"/>
      <c r="E39" s="37"/>
      <c r="F39" s="38"/>
      <c r="G39" s="13">
        <f>+G37+G38</f>
        <v>3122.5</v>
      </c>
    </row>
    <row r="40" spans="2:9" ht="15.75" x14ac:dyDescent="0.25">
      <c r="B40" s="36" t="s">
        <v>39</v>
      </c>
      <c r="C40" s="37"/>
      <c r="D40" s="37"/>
      <c r="E40" s="37"/>
      <c r="F40" s="38"/>
      <c r="G40" s="12">
        <f>+G39*I40</f>
        <v>624.5</v>
      </c>
      <c r="I40" s="4">
        <v>0.2</v>
      </c>
    </row>
    <row r="41" spans="2:9" ht="15.75" x14ac:dyDescent="0.25">
      <c r="B41" s="36" t="s">
        <v>40</v>
      </c>
      <c r="C41" s="37"/>
      <c r="D41" s="37"/>
      <c r="E41" s="37"/>
      <c r="F41" s="38"/>
      <c r="G41" s="12">
        <f>+G39+G40</f>
        <v>3747</v>
      </c>
    </row>
    <row r="42" spans="2:9" ht="15.75" x14ac:dyDescent="0.25">
      <c r="B42" s="36" t="s">
        <v>41</v>
      </c>
      <c r="C42" s="37"/>
      <c r="D42" s="37"/>
      <c r="E42" s="37"/>
      <c r="F42" s="38"/>
      <c r="G42" s="12">
        <f>G39*I42</f>
        <v>312.25</v>
      </c>
      <c r="I42" s="4">
        <v>0.1</v>
      </c>
    </row>
    <row r="43" spans="2:9" ht="15.75" x14ac:dyDescent="0.25">
      <c r="B43" s="36" t="s">
        <v>42</v>
      </c>
      <c r="C43" s="37"/>
      <c r="D43" s="37"/>
      <c r="E43" s="37" t="s">
        <v>17</v>
      </c>
      <c r="F43" s="38"/>
      <c r="G43" s="12">
        <f>G42*I43</f>
        <v>62.45</v>
      </c>
      <c r="I43" s="4">
        <v>0.2</v>
      </c>
    </row>
    <row r="44" spans="2:9" ht="15.75" x14ac:dyDescent="0.25">
      <c r="B44" s="36" t="s">
        <v>43</v>
      </c>
      <c r="C44" s="37"/>
      <c r="D44" s="37"/>
      <c r="E44" s="37"/>
      <c r="F44" s="38"/>
      <c r="G44" s="20">
        <f>G41-G42-G43</f>
        <v>3372.3</v>
      </c>
    </row>
    <row r="45" spans="2:9" ht="15.75" x14ac:dyDescent="0.25">
      <c r="B45" s="14"/>
      <c r="C45" s="14"/>
      <c r="D45" s="14"/>
      <c r="E45" s="14"/>
      <c r="F45" s="14"/>
      <c r="G45" s="14"/>
    </row>
    <row r="46" spans="2:9" ht="15.75" x14ac:dyDescent="0.25">
      <c r="B46" s="14" t="s">
        <v>213</v>
      </c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 t="s">
        <v>44</v>
      </c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 t="s">
        <v>46</v>
      </c>
      <c r="C54" s="14"/>
      <c r="D54" s="14"/>
      <c r="E54" s="14"/>
      <c r="F54" s="14"/>
      <c r="G54" s="14"/>
    </row>
  </sheetData>
  <mergeCells count="20">
    <mergeCell ref="C35:D35"/>
    <mergeCell ref="A1:H3"/>
    <mergeCell ref="D13:E13"/>
    <mergeCell ref="C15:F15"/>
    <mergeCell ref="B18:C18"/>
    <mergeCell ref="D18:E18"/>
    <mergeCell ref="F18:G18"/>
    <mergeCell ref="C31:D31"/>
    <mergeCell ref="C32:D32"/>
    <mergeCell ref="C33:D33"/>
    <mergeCell ref="C34:D34"/>
    <mergeCell ref="B42:F42"/>
    <mergeCell ref="B43:F43"/>
    <mergeCell ref="B44:F44"/>
    <mergeCell ref="C36:D36"/>
    <mergeCell ref="B37:F37"/>
    <mergeCell ref="B38:D38"/>
    <mergeCell ref="B39:F39"/>
    <mergeCell ref="B40:F40"/>
    <mergeCell ref="B41:F41"/>
  </mergeCells>
  <pageMargins left="0.7" right="0.7" top="0.75" bottom="0.75" header="0.3" footer="0.3"/>
  <pageSetup paperSize="9" scale="62" orientation="portrait" horizontalDpi="4294967293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I54"/>
  <sheetViews>
    <sheetView view="pageBreakPreview" topLeftCell="A7" zoomScale="90" zoomScaleNormal="100" zoomScaleSheetLayoutView="90" workbookViewId="0">
      <selection activeCell="P51" sqref="P51"/>
    </sheetView>
  </sheetViews>
  <sheetFormatPr baseColWidth="10" defaultColWidth="11.5703125" defaultRowHeight="15" x14ac:dyDescent="0.25"/>
  <cols>
    <col min="1" max="1" width="2.7109375" style="1" customWidth="1"/>
    <col min="2" max="2" width="20.140625" style="1" customWidth="1"/>
    <col min="3" max="3" width="28.42578125" style="1" customWidth="1"/>
    <col min="4" max="4" width="19.28515625" style="1" customWidth="1"/>
    <col min="5" max="5" width="21.28515625" style="1" customWidth="1"/>
    <col min="6" max="6" width="21" style="1" customWidth="1"/>
    <col min="7" max="7" width="18.140625" style="1" customWidth="1"/>
    <col min="8" max="8" width="0.28515625" style="1" customWidth="1"/>
    <col min="9" max="16384" width="11.5703125" style="1"/>
  </cols>
  <sheetData>
    <row r="1" spans="1:8" x14ac:dyDescent="0.25">
      <c r="A1" s="29" t="s">
        <v>51</v>
      </c>
      <c r="B1" s="30"/>
      <c r="C1" s="30"/>
      <c r="D1" s="30"/>
      <c r="E1" s="30"/>
      <c r="F1" s="30"/>
      <c r="G1" s="30"/>
      <c r="H1" s="30"/>
    </row>
    <row r="2" spans="1:8" x14ac:dyDescent="0.25">
      <c r="A2" s="30"/>
      <c r="B2" s="30"/>
      <c r="C2" s="30"/>
      <c r="D2" s="30"/>
      <c r="E2" s="30"/>
      <c r="F2" s="30"/>
      <c r="G2" s="30"/>
      <c r="H2" s="30"/>
    </row>
    <row r="3" spans="1:8" ht="36.75" customHeight="1" thickBot="1" x14ac:dyDescent="0.3">
      <c r="A3" s="31"/>
      <c r="B3" s="31"/>
      <c r="C3" s="31"/>
      <c r="D3" s="31"/>
      <c r="E3" s="31"/>
      <c r="F3" s="31"/>
      <c r="G3" s="31"/>
      <c r="H3" s="31"/>
    </row>
    <row r="11" spans="1:8" ht="18.75" x14ac:dyDescent="0.25">
      <c r="D11" s="15" t="s">
        <v>23</v>
      </c>
      <c r="E11" s="23">
        <v>20260108</v>
      </c>
      <c r="F11" s="15" t="s">
        <v>31</v>
      </c>
      <c r="G11" s="24">
        <v>46141</v>
      </c>
    </row>
    <row r="13" spans="1:8" x14ac:dyDescent="0.25">
      <c r="D13" s="33" t="s">
        <v>21</v>
      </c>
      <c r="E13" s="33"/>
    </row>
    <row r="15" spans="1:8" ht="24" x14ac:dyDescent="0.25">
      <c r="C15" s="46" t="s">
        <v>22</v>
      </c>
      <c r="D15" s="46"/>
      <c r="E15" s="46"/>
      <c r="F15" s="46"/>
    </row>
    <row r="18" spans="2:7" ht="15.75" x14ac:dyDescent="0.25">
      <c r="B18" s="47" t="s">
        <v>0</v>
      </c>
      <c r="C18" s="47"/>
      <c r="D18" s="47" t="s">
        <v>24</v>
      </c>
      <c r="E18" s="47"/>
      <c r="F18" s="47" t="s">
        <v>0</v>
      </c>
      <c r="G18" s="47"/>
    </row>
    <row r="19" spans="2:7" x14ac:dyDescent="0.25">
      <c r="B19" s="2" t="s">
        <v>1</v>
      </c>
      <c r="C19" s="7">
        <f>+'Annexe 6 (1)'!C19</f>
        <v>3108</v>
      </c>
      <c r="D19" s="6" t="s">
        <v>25</v>
      </c>
      <c r="E19" s="7" t="s">
        <v>240</v>
      </c>
      <c r="F19" s="2" t="s">
        <v>30</v>
      </c>
      <c r="G19" s="2"/>
    </row>
    <row r="20" spans="2:7" x14ac:dyDescent="0.25">
      <c r="B20" s="2" t="s">
        <v>2</v>
      </c>
      <c r="C20" s="7" t="str">
        <f>+'Annexe 6 (1)'!C20</f>
        <v>WIDINE MOTORS SERVICES</v>
      </c>
      <c r="D20" s="6" t="s">
        <v>26</v>
      </c>
      <c r="E20" s="7" t="s">
        <v>214</v>
      </c>
    </row>
    <row r="21" spans="2:7" x14ac:dyDescent="0.25">
      <c r="B21" s="2" t="s">
        <v>3</v>
      </c>
      <c r="C21" s="7" t="str">
        <f>+'Annexe 6 (1)'!C21</f>
        <v>N°534 BIS 2 Q.I Sidi Ghanem</v>
      </c>
      <c r="D21" s="6" t="s">
        <v>27</v>
      </c>
      <c r="E21" s="7">
        <v>211296</v>
      </c>
    </row>
    <row r="22" spans="2:7" x14ac:dyDescent="0.25">
      <c r="B22" s="2" t="s">
        <v>4</v>
      </c>
      <c r="C22" s="7" t="str">
        <f>+'Annexe 6 (1)'!C22</f>
        <v>Marrakech</v>
      </c>
      <c r="D22" s="6" t="s">
        <v>28</v>
      </c>
      <c r="E22" s="8" t="s">
        <v>54</v>
      </c>
    </row>
    <row r="23" spans="2:7" x14ac:dyDescent="0.25">
      <c r="B23" s="2" t="s">
        <v>5</v>
      </c>
      <c r="C23" s="7">
        <f>+'Annexe 6 (1)'!C23</f>
        <v>150241</v>
      </c>
      <c r="D23" s="6" t="s">
        <v>29</v>
      </c>
      <c r="E23" s="21" t="s">
        <v>236</v>
      </c>
    </row>
    <row r="24" spans="2:7" x14ac:dyDescent="0.25">
      <c r="B24" s="2" t="s">
        <v>6</v>
      </c>
      <c r="C24" s="7">
        <f>+'Annexe 6 (1)'!C24</f>
        <v>64006750</v>
      </c>
    </row>
    <row r="25" spans="2:7" x14ac:dyDescent="0.25">
      <c r="B25" s="2" t="s">
        <v>7</v>
      </c>
      <c r="C25" s="7">
        <f>+'Annexe 6 (1)'!C25</f>
        <v>65976431</v>
      </c>
    </row>
    <row r="26" spans="2:7" x14ac:dyDescent="0.25">
      <c r="B26" s="2" t="s">
        <v>8</v>
      </c>
      <c r="C26" s="7" t="str">
        <f>+'Annexe 6 (1)'!C26</f>
        <v>003524622000063</v>
      </c>
    </row>
    <row r="27" spans="2:7" x14ac:dyDescent="0.25">
      <c r="B27" s="2" t="s">
        <v>9</v>
      </c>
      <c r="C27" s="7" t="str">
        <f>+'Annexe 6 (1)'!C27</f>
        <v>007450000612500000095129</v>
      </c>
    </row>
    <row r="31" spans="2:7" ht="15.75" x14ac:dyDescent="0.25">
      <c r="B31" s="16" t="s">
        <v>32</v>
      </c>
      <c r="C31" s="39" t="s">
        <v>33</v>
      </c>
      <c r="D31" s="41"/>
      <c r="E31" s="16" t="s">
        <v>34</v>
      </c>
      <c r="F31" s="16" t="s">
        <v>35</v>
      </c>
      <c r="G31" s="16" t="s">
        <v>36</v>
      </c>
    </row>
    <row r="32" spans="2:7" ht="15.75" x14ac:dyDescent="0.25">
      <c r="B32" s="10" t="s">
        <v>52</v>
      </c>
      <c r="C32" s="42" t="s">
        <v>215</v>
      </c>
      <c r="D32" s="43"/>
      <c r="E32" s="26">
        <v>2</v>
      </c>
      <c r="F32" s="18">
        <v>300</v>
      </c>
      <c r="G32" s="18">
        <f>F32*E32</f>
        <v>600</v>
      </c>
    </row>
    <row r="33" spans="2:9" ht="15" customHeight="1" x14ac:dyDescent="0.25">
      <c r="B33" s="10" t="s">
        <v>53</v>
      </c>
      <c r="C33" s="42" t="s">
        <v>70</v>
      </c>
      <c r="D33" s="43"/>
      <c r="E33" s="26">
        <v>6</v>
      </c>
      <c r="F33" s="18">
        <v>150</v>
      </c>
      <c r="G33" s="18">
        <f t="shared" ref="G33:G36" si="0">F33*E33</f>
        <v>900</v>
      </c>
    </row>
    <row r="34" spans="2:9" ht="15.75" x14ac:dyDescent="0.25">
      <c r="B34" s="10" t="s">
        <v>55</v>
      </c>
      <c r="C34" s="42" t="s">
        <v>216</v>
      </c>
      <c r="D34" s="43"/>
      <c r="E34" s="26">
        <v>4</v>
      </c>
      <c r="F34" s="18">
        <v>556.25</v>
      </c>
      <c r="G34" s="18">
        <f t="shared" si="0"/>
        <v>2225</v>
      </c>
    </row>
    <row r="35" spans="2:9" ht="15.75" x14ac:dyDescent="0.25">
      <c r="B35" s="10" t="s">
        <v>56</v>
      </c>
      <c r="C35" s="42" t="s">
        <v>217</v>
      </c>
      <c r="D35" s="43"/>
      <c r="E35" s="26">
        <v>2</v>
      </c>
      <c r="F35" s="18">
        <v>2920</v>
      </c>
      <c r="G35" s="18">
        <f t="shared" si="0"/>
        <v>5840</v>
      </c>
    </row>
    <row r="36" spans="2:9" ht="15.75" x14ac:dyDescent="0.25">
      <c r="B36" s="10" t="s">
        <v>62</v>
      </c>
      <c r="C36" s="42" t="s">
        <v>218</v>
      </c>
      <c r="D36" s="43"/>
      <c r="E36" s="26">
        <v>2</v>
      </c>
      <c r="F36" s="18">
        <v>2555</v>
      </c>
      <c r="G36" s="18">
        <f t="shared" si="0"/>
        <v>5110</v>
      </c>
    </row>
    <row r="37" spans="2:9" ht="15.75" x14ac:dyDescent="0.25">
      <c r="B37" s="36" t="s">
        <v>37</v>
      </c>
      <c r="C37" s="37"/>
      <c r="D37" s="37"/>
      <c r="E37" s="37"/>
      <c r="F37" s="38"/>
      <c r="G37" s="13">
        <f>SUM(G32:G36)</f>
        <v>14675</v>
      </c>
    </row>
    <row r="38" spans="2:9" ht="15.75" x14ac:dyDescent="0.25">
      <c r="B38" s="39" t="s">
        <v>45</v>
      </c>
      <c r="C38" s="40"/>
      <c r="D38" s="41"/>
      <c r="E38" s="19"/>
      <c r="F38" s="12"/>
      <c r="G38" s="12">
        <v>1400</v>
      </c>
    </row>
    <row r="39" spans="2:9" ht="15.75" x14ac:dyDescent="0.25">
      <c r="B39" s="36" t="s">
        <v>38</v>
      </c>
      <c r="C39" s="37"/>
      <c r="D39" s="37"/>
      <c r="E39" s="37"/>
      <c r="F39" s="38"/>
      <c r="G39" s="13">
        <f>+G37+G38</f>
        <v>16075</v>
      </c>
    </row>
    <row r="40" spans="2:9" ht="15.75" x14ac:dyDescent="0.25">
      <c r="B40" s="36" t="s">
        <v>39</v>
      </c>
      <c r="C40" s="37"/>
      <c r="D40" s="37"/>
      <c r="E40" s="37"/>
      <c r="F40" s="38"/>
      <c r="G40" s="12">
        <f>+G39*I40</f>
        <v>3215</v>
      </c>
      <c r="I40" s="4">
        <v>0.2</v>
      </c>
    </row>
    <row r="41" spans="2:9" ht="15.75" x14ac:dyDescent="0.25">
      <c r="B41" s="36" t="s">
        <v>40</v>
      </c>
      <c r="C41" s="37"/>
      <c r="D41" s="37"/>
      <c r="E41" s="37"/>
      <c r="F41" s="38"/>
      <c r="G41" s="12">
        <f>+G39+G40</f>
        <v>19290</v>
      </c>
    </row>
    <row r="42" spans="2:9" ht="15.75" x14ac:dyDescent="0.25">
      <c r="B42" s="36" t="s">
        <v>41</v>
      </c>
      <c r="C42" s="37"/>
      <c r="D42" s="37"/>
      <c r="E42" s="37"/>
      <c r="F42" s="38"/>
      <c r="G42" s="12">
        <f>G39*I42</f>
        <v>1607.5</v>
      </c>
      <c r="I42" s="4">
        <v>0.1</v>
      </c>
    </row>
    <row r="43" spans="2:9" ht="15.75" x14ac:dyDescent="0.25">
      <c r="B43" s="36" t="s">
        <v>42</v>
      </c>
      <c r="C43" s="37"/>
      <c r="D43" s="37"/>
      <c r="E43" s="37" t="s">
        <v>17</v>
      </c>
      <c r="F43" s="38"/>
      <c r="G43" s="12">
        <f>G42*I43</f>
        <v>321.5</v>
      </c>
      <c r="I43" s="4">
        <v>0.2</v>
      </c>
    </row>
    <row r="44" spans="2:9" ht="15.75" x14ac:dyDescent="0.25">
      <c r="B44" s="36" t="s">
        <v>43</v>
      </c>
      <c r="C44" s="37"/>
      <c r="D44" s="37"/>
      <c r="E44" s="37"/>
      <c r="F44" s="38"/>
      <c r="G44" s="20">
        <f>G41-G42-G43</f>
        <v>17361</v>
      </c>
    </row>
    <row r="45" spans="2:9" ht="15.75" x14ac:dyDescent="0.25">
      <c r="B45" s="14"/>
      <c r="C45" s="14"/>
      <c r="D45" s="14"/>
      <c r="E45" s="14"/>
      <c r="F45" s="14"/>
      <c r="G45" s="14"/>
    </row>
    <row r="46" spans="2:9" ht="15.75" x14ac:dyDescent="0.25">
      <c r="B46" s="14" t="s">
        <v>219</v>
      </c>
      <c r="C46" s="14"/>
      <c r="D46" s="14"/>
      <c r="E46" s="14"/>
      <c r="F46" s="14"/>
      <c r="G46" s="14"/>
    </row>
    <row r="47" spans="2:9" ht="15.75" x14ac:dyDescent="0.25">
      <c r="B47" s="14"/>
      <c r="C47" s="14"/>
      <c r="D47" s="14"/>
      <c r="E47" s="14"/>
      <c r="F47" s="14"/>
      <c r="G47" s="14"/>
    </row>
    <row r="48" spans="2:9" ht="15.75" x14ac:dyDescent="0.25">
      <c r="B48" s="14"/>
      <c r="C48" s="14"/>
      <c r="D48" s="14"/>
      <c r="E48" s="14"/>
      <c r="F48" s="14"/>
      <c r="G48" s="14"/>
    </row>
    <row r="49" spans="2:7" ht="15.75" x14ac:dyDescent="0.25">
      <c r="B49" s="14"/>
      <c r="C49" s="14"/>
      <c r="D49" s="14"/>
      <c r="E49" s="14" t="s">
        <v>44</v>
      </c>
      <c r="F49" s="14"/>
      <c r="G49" s="14"/>
    </row>
    <row r="50" spans="2:7" ht="15.75" x14ac:dyDescent="0.25">
      <c r="B50" s="14"/>
      <c r="C50" s="14"/>
      <c r="D50" s="14"/>
      <c r="E50" s="14"/>
      <c r="F50" s="14"/>
      <c r="G50" s="14"/>
    </row>
    <row r="51" spans="2:7" ht="15.75" x14ac:dyDescent="0.25">
      <c r="B51" s="14"/>
      <c r="C51" s="14"/>
      <c r="D51" s="14"/>
      <c r="E51" s="14"/>
      <c r="F51" s="14"/>
      <c r="G51" s="14"/>
    </row>
    <row r="52" spans="2:7" ht="15.75" x14ac:dyDescent="0.25">
      <c r="B52" s="14"/>
      <c r="C52" s="14"/>
      <c r="D52" s="14"/>
      <c r="E52" s="14"/>
      <c r="F52" s="14"/>
      <c r="G52" s="14"/>
    </row>
    <row r="53" spans="2:7" ht="15.75" x14ac:dyDescent="0.25">
      <c r="B53" s="14"/>
      <c r="C53" s="14"/>
      <c r="D53" s="14"/>
      <c r="E53" s="14"/>
      <c r="F53" s="14"/>
      <c r="G53" s="14"/>
    </row>
    <row r="54" spans="2:7" ht="15.75" x14ac:dyDescent="0.25">
      <c r="B54" s="14" t="s">
        <v>46</v>
      </c>
      <c r="C54" s="14"/>
      <c r="D54" s="14"/>
      <c r="E54" s="14"/>
      <c r="F54" s="14"/>
      <c r="G54" s="14"/>
    </row>
  </sheetData>
  <mergeCells count="20">
    <mergeCell ref="B40:F40"/>
    <mergeCell ref="B41:F41"/>
    <mergeCell ref="B42:F42"/>
    <mergeCell ref="B43:F43"/>
    <mergeCell ref="B44:F44"/>
    <mergeCell ref="B39:F39"/>
    <mergeCell ref="C31:D31"/>
    <mergeCell ref="C32:D32"/>
    <mergeCell ref="C33:D33"/>
    <mergeCell ref="C34:D34"/>
    <mergeCell ref="C35:D35"/>
    <mergeCell ref="C36:D36"/>
    <mergeCell ref="B37:F37"/>
    <mergeCell ref="B38:D38"/>
    <mergeCell ref="A1:H3"/>
    <mergeCell ref="D13:E13"/>
    <mergeCell ref="C15:F15"/>
    <mergeCell ref="B18:C18"/>
    <mergeCell ref="D18:E18"/>
    <mergeCell ref="F18:G18"/>
  </mergeCells>
  <pageMargins left="0.7" right="0.7" top="0.75" bottom="0.75" header="0.3" footer="0.3"/>
  <pageSetup paperSize="9" scale="6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33</vt:i4>
      </vt:variant>
      <vt:variant>
        <vt:lpstr>Plages nommées</vt:lpstr>
      </vt:variant>
      <vt:variant>
        <vt:i4>33</vt:i4>
      </vt:variant>
    </vt:vector>
  </HeadingPairs>
  <TitlesOfParts>
    <vt:vector size="66" baseType="lpstr">
      <vt:lpstr>Annexe 6 (3)</vt:lpstr>
      <vt:lpstr>Annexe 6 (2)</vt:lpstr>
      <vt:lpstr>Annexe 6 (1)</vt:lpstr>
      <vt:lpstr>Annexe 7</vt:lpstr>
      <vt:lpstr>Annexe 8</vt:lpstr>
      <vt:lpstr>Annexe 9</vt:lpstr>
      <vt:lpstr>Annexe 10</vt:lpstr>
      <vt:lpstr>Annexe 11</vt:lpstr>
      <vt:lpstr>Annexe 12</vt:lpstr>
      <vt:lpstr>Annexe 13 </vt:lpstr>
      <vt:lpstr>Annexe 14 </vt:lpstr>
      <vt:lpstr>Annexe 15</vt:lpstr>
      <vt:lpstr>Annexe 16 </vt:lpstr>
      <vt:lpstr>Annexe 17</vt:lpstr>
      <vt:lpstr>Annexe 18</vt:lpstr>
      <vt:lpstr>Annexe 19</vt:lpstr>
      <vt:lpstr>Annexe 20</vt:lpstr>
      <vt:lpstr>Annexe 21</vt:lpstr>
      <vt:lpstr>Annexe 22 </vt:lpstr>
      <vt:lpstr>Annexe 23</vt:lpstr>
      <vt:lpstr>Annexe 24</vt:lpstr>
      <vt:lpstr>Annexe 25</vt:lpstr>
      <vt:lpstr>Annexe 26</vt:lpstr>
      <vt:lpstr>Annexe  27</vt:lpstr>
      <vt:lpstr>Annexe 28</vt:lpstr>
      <vt:lpstr>Annexe 29</vt:lpstr>
      <vt:lpstr>Annexe 30</vt:lpstr>
      <vt:lpstr>Annexe 31</vt:lpstr>
      <vt:lpstr>Annexe 32</vt:lpstr>
      <vt:lpstr>Annexe 33</vt:lpstr>
      <vt:lpstr>Annexe 34</vt:lpstr>
      <vt:lpstr>Annexe 35</vt:lpstr>
      <vt:lpstr>Annexe 36</vt:lpstr>
      <vt:lpstr>'Annexe  27'!Zone_d_impression</vt:lpstr>
      <vt:lpstr>'Annexe 10'!Zone_d_impression</vt:lpstr>
      <vt:lpstr>'Annexe 11'!Zone_d_impression</vt:lpstr>
      <vt:lpstr>'Annexe 12'!Zone_d_impression</vt:lpstr>
      <vt:lpstr>'Annexe 13 '!Zone_d_impression</vt:lpstr>
      <vt:lpstr>'Annexe 14 '!Zone_d_impression</vt:lpstr>
      <vt:lpstr>'Annexe 15'!Zone_d_impression</vt:lpstr>
      <vt:lpstr>'Annexe 16 '!Zone_d_impression</vt:lpstr>
      <vt:lpstr>'Annexe 17'!Zone_d_impression</vt:lpstr>
      <vt:lpstr>'Annexe 18'!Zone_d_impression</vt:lpstr>
      <vt:lpstr>'Annexe 19'!Zone_d_impression</vt:lpstr>
      <vt:lpstr>'Annexe 20'!Zone_d_impression</vt:lpstr>
      <vt:lpstr>'Annexe 21'!Zone_d_impression</vt:lpstr>
      <vt:lpstr>'Annexe 22 '!Zone_d_impression</vt:lpstr>
      <vt:lpstr>'Annexe 23'!Zone_d_impression</vt:lpstr>
      <vt:lpstr>'Annexe 24'!Zone_d_impression</vt:lpstr>
      <vt:lpstr>'Annexe 25'!Zone_d_impression</vt:lpstr>
      <vt:lpstr>'Annexe 26'!Zone_d_impression</vt:lpstr>
      <vt:lpstr>'Annexe 28'!Zone_d_impression</vt:lpstr>
      <vt:lpstr>'Annexe 29'!Zone_d_impression</vt:lpstr>
      <vt:lpstr>'Annexe 30'!Zone_d_impression</vt:lpstr>
      <vt:lpstr>'Annexe 31'!Zone_d_impression</vt:lpstr>
      <vt:lpstr>'Annexe 32'!Zone_d_impression</vt:lpstr>
      <vt:lpstr>'Annexe 33'!Zone_d_impression</vt:lpstr>
      <vt:lpstr>'Annexe 34'!Zone_d_impression</vt:lpstr>
      <vt:lpstr>'Annexe 35'!Zone_d_impression</vt:lpstr>
      <vt:lpstr>'Annexe 36'!Zone_d_impression</vt:lpstr>
      <vt:lpstr>'Annexe 6 (1)'!Zone_d_impression</vt:lpstr>
      <vt:lpstr>'Annexe 6 (2)'!Zone_d_impression</vt:lpstr>
      <vt:lpstr>'Annexe 6 (3)'!Zone_d_impression</vt:lpstr>
      <vt:lpstr>'Annexe 7'!Zone_d_impression</vt:lpstr>
      <vt:lpstr>'Annexe 8'!Zone_d_impression</vt:lpstr>
      <vt:lpstr>'Annexe 9'!Zone_d_impression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elmotassadeq.widad@gmail.com</dc:creator>
  <cp:lastModifiedBy>user</cp:lastModifiedBy>
  <cp:lastPrinted>2026-04-29T16:24:43Z</cp:lastPrinted>
  <dcterms:created xsi:type="dcterms:W3CDTF">2025-10-14T17:01:49Z</dcterms:created>
  <dcterms:modified xsi:type="dcterms:W3CDTF">2026-04-29T16:43:10Z</dcterms:modified>
</cp:coreProperties>
</file>